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projects\leak-AI-cost-detector\"/>
    </mc:Choice>
  </mc:AlternateContent>
  <xr:revisionPtr revIDLastSave="0" documentId="13_ncr:1_{5846A1F3-2DD0-4354-A4A3-45020E0F51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Sheet1!$K$1:$K$125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" i="1" l="1"/>
  <c r="B41" i="1"/>
  <c r="B47" i="1"/>
  <c r="I4" i="1"/>
  <c r="J4" i="1" s="1"/>
  <c r="H8" i="2"/>
  <c r="H7" i="2"/>
  <c r="H5" i="2"/>
  <c r="H3" i="2"/>
  <c r="H2" i="2"/>
  <c r="I16" i="1"/>
  <c r="J16" i="1" s="1"/>
  <c r="I17" i="1"/>
  <c r="J17" i="1" s="1"/>
  <c r="I18" i="1"/>
  <c r="J18" i="1" s="1"/>
  <c r="I19" i="1"/>
  <c r="J19" i="1" s="1"/>
  <c r="I15" i="1"/>
  <c r="J15" i="1" s="1"/>
  <c r="I9" i="1"/>
  <c r="K9" i="1" s="1"/>
  <c r="I10" i="1"/>
  <c r="K10" i="1" s="1"/>
  <c r="I11" i="1"/>
  <c r="K11" i="1" s="1"/>
  <c r="I12" i="1"/>
  <c r="K12" i="1" s="1"/>
  <c r="I8" i="1"/>
  <c r="K8" i="1" s="1"/>
  <c r="I3" i="1"/>
  <c r="J3" i="1" s="1"/>
  <c r="I5" i="1"/>
  <c r="J5" i="1" s="1"/>
  <c r="I6" i="1"/>
  <c r="J6" i="1" s="1"/>
  <c r="I2" i="1"/>
  <c r="J2" i="1" s="1"/>
  <c r="K117" i="1"/>
  <c r="K116" i="1"/>
  <c r="J114" i="1"/>
  <c r="J115" i="1"/>
  <c r="F113" i="1"/>
  <c r="J113" i="1" s="1"/>
  <c r="J109" i="1"/>
  <c r="J110" i="1"/>
  <c r="J111" i="1"/>
  <c r="I104" i="1"/>
  <c r="J104" i="1" s="1"/>
  <c r="I106" i="1"/>
  <c r="J106" i="1" s="1"/>
  <c r="I107" i="1"/>
  <c r="J107" i="1" s="1"/>
  <c r="I105" i="1"/>
  <c r="J105" i="1" s="1"/>
  <c r="G95" i="1"/>
  <c r="K95" i="1" s="1"/>
  <c r="F94" i="1"/>
  <c r="J94" i="1" s="1"/>
  <c r="G93" i="1"/>
  <c r="K93" i="1" s="1"/>
  <c r="F92" i="1"/>
  <c r="J92" i="1" s="1"/>
  <c r="G91" i="1"/>
  <c r="K91" i="1" s="1"/>
  <c r="F90" i="1"/>
  <c r="J90" i="1" s="1"/>
  <c r="J89" i="1"/>
  <c r="G73" i="1"/>
  <c r="K73" i="1" s="1"/>
  <c r="F72" i="1"/>
  <c r="J72" i="1" s="1"/>
  <c r="F70" i="1"/>
  <c r="J70" i="1" s="1"/>
  <c r="F69" i="1"/>
  <c r="J69" i="1" s="1"/>
  <c r="F71" i="1"/>
  <c r="J71" i="1" s="1"/>
  <c r="I27" i="1"/>
  <c r="J27" i="1" s="1"/>
  <c r="I24" i="1"/>
  <c r="K24" i="1" s="1"/>
  <c r="I25" i="1"/>
  <c r="J25" i="1" s="1"/>
  <c r="I26" i="1"/>
  <c r="J26" i="1" s="1"/>
  <c r="I28" i="1"/>
  <c r="K28" i="1" s="1"/>
  <c r="I29" i="1"/>
  <c r="J29" i="1" s="1"/>
  <c r="I23" i="1"/>
  <c r="J23" i="1" s="1"/>
  <c r="I31" i="1"/>
  <c r="I30" i="1"/>
  <c r="K30" i="1" s="1"/>
  <c r="J31" i="1" l="1"/>
</calcChain>
</file>

<file path=xl/sharedStrings.xml><?xml version="1.0" encoding="utf-8"?>
<sst xmlns="http://schemas.openxmlformats.org/spreadsheetml/2006/main" count="148" uniqueCount="132">
  <si>
    <t>cursor</t>
  </si>
  <si>
    <t>$20</t>
  </si>
  <si>
    <t>$200</t>
  </si>
  <si>
    <t>$0</t>
  </si>
  <si>
    <t>github copilot</t>
  </si>
  <si>
    <t>claude code</t>
  </si>
  <si>
    <t>$17</t>
  </si>
  <si>
    <t>chatgpt</t>
  </si>
  <si>
    <t>number of users</t>
  </si>
  <si>
    <t>Google gemini</t>
  </si>
  <si>
    <t>windsurf</t>
  </si>
  <si>
    <t>grok</t>
  </si>
  <si>
    <t>v0</t>
  </si>
  <si>
    <t>$100</t>
  </si>
  <si>
    <t>yearly charges($)</t>
  </si>
  <si>
    <t>yearly charges($) / month</t>
  </si>
  <si>
    <t>Total yearly amount($)
(paid yearly)</t>
  </si>
  <si>
    <t>Total yearly amount($)
(paid monthly)</t>
  </si>
  <si>
    <t>loss in payment when payed monthly</t>
  </si>
  <si>
    <t>tax</t>
  </si>
  <si>
    <t>$25</t>
  </si>
  <si>
    <t>$125</t>
  </si>
  <si>
    <t>number of seats</t>
  </si>
  <si>
    <t>openai API</t>
  </si>
  <si>
    <t>anthropic API</t>
  </si>
  <si>
    <t>deepseek API</t>
  </si>
  <si>
    <t>google API</t>
  </si>
  <si>
    <t>Team size</t>
  </si>
  <si>
    <t>purpose or 
primary usecase</t>
  </si>
  <si>
    <t>monthly charges
(tool plan)</t>
  </si>
  <si>
    <t>plan name</t>
  </si>
  <si>
    <t>tool plan charges + tax 
(per month) to be paid by user</t>
  </si>
  <si>
    <t>5-150</t>
  </si>
  <si>
    <t>tool plan charges + tax
(per year) to be paid by user</t>
  </si>
  <si>
    <t>Pro</t>
  </si>
  <si>
    <t>tool / AI model</t>
  </si>
  <si>
    <t>Model 1 API cost</t>
  </si>
  <si>
    <t>Sonnet 4.6</t>
  </si>
  <si>
    <t>Haiku 4.5</t>
  </si>
  <si>
    <t>Individual Pro</t>
  </si>
  <si>
    <t>Teams</t>
  </si>
  <si>
    <t>free chat</t>
  </si>
  <si>
    <t>$0/month</t>
  </si>
  <si>
    <t>$0.14/1M tokens</t>
  </si>
  <si>
    <t>user given seats</t>
  </si>
  <si>
    <t>user team size</t>
  </si>
  <si>
    <t>user input plan</t>
  </si>
  <si>
    <t>user AI Tool</t>
  </si>
  <si>
    <t>Cursor</t>
  </si>
  <si>
    <t>Yearly/Monthly</t>
  </si>
  <si>
    <t>user current monthly spend</t>
  </si>
  <si>
    <t>monthly</t>
  </si>
  <si>
    <t>coding</t>
  </si>
  <si>
    <t>max number of 
devices allowed for 
one account</t>
  </si>
  <si>
    <t>3 but not accessing simulateously</t>
  </si>
  <si>
    <t>estimated user monthly spend</t>
  </si>
  <si>
    <t>Github Copilot</t>
  </si>
  <si>
    <t>Claude</t>
  </si>
  <si>
    <t>Team Standard</t>
  </si>
  <si>
    <t>cursor Hobby Yearly</t>
  </si>
  <si>
    <t>cursor Individual Pro Yearly</t>
  </si>
  <si>
    <t>cursor Individual Pro+ Yearly</t>
  </si>
  <si>
    <t>cursor Individual Ultra Yearly</t>
  </si>
  <si>
    <t>cursor Teams Yearly</t>
  </si>
  <si>
    <t>cursor Hobby Monthly</t>
  </si>
  <si>
    <t>cursor Individual Pro Monthly</t>
  </si>
  <si>
    <t>cursor Individual Pro+ Monthly</t>
  </si>
  <si>
    <t>cursor Individual Ultra Monthly</t>
  </si>
  <si>
    <t>cursor Teams Monthly</t>
  </si>
  <si>
    <t>copilot free Monthly</t>
  </si>
  <si>
    <t>copilot Pro Monthly</t>
  </si>
  <si>
    <t>copilot Pro+ Monthly</t>
  </si>
  <si>
    <t>copilot Business Monthly</t>
  </si>
  <si>
    <t>copilot enterprise Monthly</t>
  </si>
  <si>
    <t>claude Free Monthly</t>
  </si>
  <si>
    <t>claude Pro Yearly</t>
  </si>
  <si>
    <t>claude Pro Monthly</t>
  </si>
  <si>
    <t>claude Max 5x Monthly</t>
  </si>
  <si>
    <t>claude Max 20x Monthly</t>
  </si>
  <si>
    <t>claude Team 1x Yearly</t>
  </si>
  <si>
    <t>claude Team 1x Monthly</t>
  </si>
  <si>
    <t>claude Team 5x Yearly</t>
  </si>
  <si>
    <t>claude Team 5x Monthly</t>
  </si>
  <si>
    <t>chatgpt free Monthly</t>
  </si>
  <si>
    <t>chatgpt Go Monthly</t>
  </si>
  <si>
    <t>chatgpt plus Monthly</t>
  </si>
  <si>
    <t>chatgpt Pro Monthly</t>
  </si>
  <si>
    <t>chatgpt Business Monthly</t>
  </si>
  <si>
    <t>chatgpt Business Yearly</t>
  </si>
  <si>
    <t>Gemini Free Monthly</t>
  </si>
  <si>
    <t>Gemini Google AI plus Monthly</t>
  </si>
  <si>
    <t>Gemini Google AI plus Yearly</t>
  </si>
  <si>
    <t>Gemini Google AI pro Monthly</t>
  </si>
  <si>
    <t>Gemini Google AI pro Yearly</t>
  </si>
  <si>
    <t>Gemini google ai ultra Monthly</t>
  </si>
  <si>
    <t>Gemini google ai ultra Yearly</t>
  </si>
  <si>
    <t>windsurf Free Monthly</t>
  </si>
  <si>
    <t>windsurf Pro Monthly</t>
  </si>
  <si>
    <t>windsurf MAX Monthly</t>
  </si>
  <si>
    <t>windsurf TEAMS Monthly</t>
  </si>
  <si>
    <t>v0 Free Monthly</t>
  </si>
  <si>
    <t>v0 Team Monthly</t>
  </si>
  <si>
    <t>v0 Business Monthly</t>
  </si>
  <si>
    <t>grok Individual Montly</t>
  </si>
  <si>
    <t>grok business - supergrok Monthly</t>
  </si>
  <si>
    <t>grok business - supergrok heavy Monthly</t>
  </si>
  <si>
    <t>grok business-supergrok Yearly</t>
  </si>
  <si>
    <t>grok business-supergrok heavy Yearly</t>
  </si>
  <si>
    <t>Team Premium</t>
  </si>
  <si>
    <t>GPT-5.5</t>
  </si>
  <si>
    <t>purpose of AI model</t>
  </si>
  <si>
    <t>complex reasoning and coding</t>
  </si>
  <si>
    <t>claude opus 4.7</t>
  </si>
  <si>
    <t>base input tokens cost  
per million</t>
  </si>
  <si>
    <t>output tokens cost 
per million</t>
  </si>
  <si>
    <t>5m cache write cost 
per million</t>
  </si>
  <si>
    <t>1hr cache write cost 
per million</t>
  </si>
  <si>
    <t>cache hit and refresh cost per million</t>
  </si>
  <si>
    <t>session run time cost 
per hour</t>
  </si>
  <si>
    <t>input tokens number</t>
  </si>
  <si>
    <t>output tokens number</t>
  </si>
  <si>
    <t>session run time 
per hour</t>
  </si>
  <si>
    <t>total cost</t>
  </si>
  <si>
    <t>cache read input tokens number</t>
  </si>
  <si>
    <t>session runtime per hour</t>
  </si>
  <si>
    <t xml:space="preserve">total cost </t>
  </si>
  <si>
    <t>cache read token cost per million</t>
  </si>
  <si>
    <t>input tokens cost 
per million tokens</t>
  </si>
  <si>
    <t>cached input cost 
per million tokens</t>
  </si>
  <si>
    <t>output tokens cost 
per million tokens</t>
  </si>
  <si>
    <t>context window size
per million tokens</t>
  </si>
  <si>
    <t>max output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</si>
</sst>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#,##0.0000"/>
    <numFmt numFmtId="166" formatCode="[$$-409]#,##0.000"/>
    <numFmt numFmtId="167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"/>
  <sheetViews>
    <sheetView zoomScaleNormal="100" workbookViewId="0"/>
  </sheetViews>
  <sheetFormatPr defaultRowHeight="15" x14ac:dyDescent="0.25"/>
  <cols>
    <col min="1" max="1" width="20.7109375" customWidth="1"/>
    <col min="2" max="2" width="56.7109375" style="7" bestFit="1" customWidth="1"/>
    <col min="3" max="3" width="28.28515625" bestFit="1" customWidth="1"/>
    <col min="4" max="4" width="35.7109375" customWidth="1"/>
    <col min="5" max="5" width="38" bestFit="1" customWidth="1"/>
    <col min="6" max="6" width="32.42578125" bestFit="1" customWidth="1"/>
    <col min="7" max="7" width="31.140625" bestFit="1" customWidth="1"/>
    <col min="8" max="8" width="31.140625" customWidth="1"/>
    <col min="9" max="9" width="11.85546875" customWidth="1"/>
    <col min="10" max="11" width="27.140625" bestFit="1" customWidth="1"/>
    <col min="12" max="13" width="24" style="1" customWidth="1"/>
    <col min="14" max="14" width="28.7109375" customWidth="1"/>
    <col min="15" max="15" width="21.42578125" customWidth="1"/>
    <col min="16" max="16" width="15.5703125" bestFit="1" customWidth="1"/>
    <col min="17" max="17" width="19.28515625" bestFit="1" customWidth="1"/>
    <col min="21" max="22" width="19.28515625" customWidth="1"/>
  </cols>
  <sheetData>
    <row r="1" spans="1:22" s="2" customFormat="1" ht="56.25" x14ac:dyDescent="0.3">
      <c r="A1" s="2" t="s">
        <v>35</v>
      </c>
      <c r="B1" s="10" t="s">
        <v>53</v>
      </c>
      <c r="C1" s="3" t="s">
        <v>110</v>
      </c>
      <c r="D1" s="2" t="s">
        <v>36</v>
      </c>
      <c r="E1" s="2" t="s">
        <v>30</v>
      </c>
      <c r="F1" s="3" t="s">
        <v>29</v>
      </c>
      <c r="G1" s="3" t="s">
        <v>15</v>
      </c>
      <c r="H1" s="2" t="s">
        <v>14</v>
      </c>
      <c r="I1" s="2" t="s">
        <v>19</v>
      </c>
      <c r="J1" s="3" t="s">
        <v>31</v>
      </c>
      <c r="K1" s="3" t="s">
        <v>33</v>
      </c>
      <c r="L1" s="4" t="s">
        <v>8</v>
      </c>
      <c r="M1" s="4" t="s">
        <v>22</v>
      </c>
      <c r="N1" s="2" t="s">
        <v>27</v>
      </c>
      <c r="O1" s="3" t="s">
        <v>17</v>
      </c>
      <c r="P1" s="3" t="s">
        <v>16</v>
      </c>
      <c r="Q1" s="3" t="s">
        <v>18</v>
      </c>
      <c r="U1" s="3"/>
      <c r="V1" s="3"/>
    </row>
    <row r="2" spans="1:22" x14ac:dyDescent="0.25">
      <c r="A2" t="s">
        <v>0</v>
      </c>
      <c r="B2" s="7" t="s">
        <v>54</v>
      </c>
      <c r="E2" t="s">
        <v>64</v>
      </c>
      <c r="F2" s="7">
        <v>0</v>
      </c>
      <c r="I2" s="7">
        <f>PRODUCT(F2,0.18)</f>
        <v>0</v>
      </c>
      <c r="J2" s="7">
        <f>SUM(F2,I2)</f>
        <v>0</v>
      </c>
      <c r="P2" s="7"/>
    </row>
    <row r="3" spans="1:22" x14ac:dyDescent="0.25">
      <c r="E3" t="s">
        <v>65</v>
      </c>
      <c r="F3" s="7">
        <v>20</v>
      </c>
      <c r="I3" s="7">
        <f>PRODUCT(F3,0.18)</f>
        <v>3.5999999999999996</v>
      </c>
      <c r="J3" s="7">
        <f>SUM(F3,I3)</f>
        <v>23.6</v>
      </c>
      <c r="P3" s="7"/>
    </row>
    <row r="4" spans="1:22" x14ac:dyDescent="0.25">
      <c r="E4" t="s">
        <v>66</v>
      </c>
      <c r="F4" s="7">
        <v>60</v>
      </c>
      <c r="I4" s="7">
        <f>PRODUCT(F4,0.18)</f>
        <v>10.799999999999999</v>
      </c>
      <c r="J4" s="7">
        <f>SUM(F4,I4)</f>
        <v>70.8</v>
      </c>
      <c r="P4" s="7"/>
    </row>
    <row r="5" spans="1:22" x14ac:dyDescent="0.25">
      <c r="E5" t="s">
        <v>67</v>
      </c>
      <c r="F5" s="7">
        <v>200</v>
      </c>
      <c r="I5" s="7">
        <f>PRODUCT(F5,0.18)</f>
        <v>36</v>
      </c>
      <c r="J5" s="7">
        <f>SUM(F5,I5)</f>
        <v>236</v>
      </c>
      <c r="P5" s="7"/>
    </row>
    <row r="6" spans="1:22" x14ac:dyDescent="0.25">
      <c r="E6" t="s">
        <v>68</v>
      </c>
      <c r="F6" s="7">
        <v>40</v>
      </c>
      <c r="I6" s="7">
        <f>PRODUCT(F6,0.18)</f>
        <v>7.1999999999999993</v>
      </c>
      <c r="J6" s="7">
        <f>SUM(F6,I6)</f>
        <v>47.2</v>
      </c>
      <c r="L6" s="1">
        <v>1</v>
      </c>
      <c r="O6" s="7"/>
      <c r="P6" s="7"/>
    </row>
    <row r="8" spans="1:22" x14ac:dyDescent="0.25">
      <c r="E8" t="s">
        <v>59</v>
      </c>
      <c r="G8" s="7">
        <v>0</v>
      </c>
      <c r="I8" s="7">
        <f>PRODUCT(G8,0.18)</f>
        <v>0</v>
      </c>
      <c r="J8" s="7"/>
      <c r="K8" s="7">
        <f>PRODUCT(SUM(G8,I8),12)</f>
        <v>0</v>
      </c>
    </row>
    <row r="9" spans="1:22" x14ac:dyDescent="0.25">
      <c r="E9" t="s">
        <v>60</v>
      </c>
      <c r="G9" s="7">
        <v>16</v>
      </c>
      <c r="I9" s="7">
        <f>PRODUCT(G9,0.18)</f>
        <v>2.88</v>
      </c>
      <c r="J9" s="7"/>
      <c r="K9" s="7">
        <f>PRODUCT(SUM(G9,I9),12)</f>
        <v>226.56</v>
      </c>
    </row>
    <row r="10" spans="1:22" x14ac:dyDescent="0.25">
      <c r="E10" t="s">
        <v>61</v>
      </c>
      <c r="G10" s="7">
        <v>48</v>
      </c>
      <c r="I10" s="7">
        <f>PRODUCT(G10,0.18)</f>
        <v>8.64</v>
      </c>
      <c r="J10" s="7"/>
      <c r="K10" s="7">
        <f>PRODUCT(SUM(G10,I10),12)</f>
        <v>679.68000000000006</v>
      </c>
    </row>
    <row r="11" spans="1:22" x14ac:dyDescent="0.25">
      <c r="E11" t="s">
        <v>62</v>
      </c>
      <c r="G11" s="7">
        <v>160</v>
      </c>
      <c r="I11" s="7">
        <f>PRODUCT(G11,0.18)</f>
        <v>28.799999999999997</v>
      </c>
      <c r="J11" s="7"/>
      <c r="K11" s="7">
        <f>PRODUCT(SUM(G11,I11),12)</f>
        <v>2265.6000000000004</v>
      </c>
    </row>
    <row r="12" spans="1:22" x14ac:dyDescent="0.25">
      <c r="E12" t="s">
        <v>63</v>
      </c>
      <c r="G12" s="7">
        <v>32</v>
      </c>
      <c r="I12" s="7">
        <f>PRODUCT(G12,0.18)</f>
        <v>5.76</v>
      </c>
      <c r="J12" s="7"/>
      <c r="K12" s="7">
        <f>PRODUCT(SUM(G12,I12),12)</f>
        <v>453.12</v>
      </c>
    </row>
    <row r="15" spans="1:22" x14ac:dyDescent="0.25">
      <c r="A15" t="s">
        <v>4</v>
      </c>
      <c r="E15" t="s">
        <v>69</v>
      </c>
      <c r="F15" s="7">
        <v>0</v>
      </c>
      <c r="I15" s="7">
        <f>PRODUCT(G15,0)</f>
        <v>0</v>
      </c>
      <c r="J15" s="7">
        <f>SUM(F15,I15)</f>
        <v>0</v>
      </c>
    </row>
    <row r="16" spans="1:22" x14ac:dyDescent="0.25">
      <c r="E16" t="s">
        <v>70</v>
      </c>
      <c r="F16" s="7">
        <v>10</v>
      </c>
      <c r="I16" s="7">
        <f>PRODUCT(G16,0)</f>
        <v>0</v>
      </c>
      <c r="J16" s="7">
        <f>SUM(F16,I16)</f>
        <v>10</v>
      </c>
      <c r="L16" s="1">
        <v>1</v>
      </c>
    </row>
    <row r="17" spans="1:13" x14ac:dyDescent="0.25">
      <c r="E17" t="s">
        <v>71</v>
      </c>
      <c r="F17" s="7">
        <v>39</v>
      </c>
      <c r="I17" s="7">
        <f>PRODUCT(G17,0)</f>
        <v>0</v>
      </c>
      <c r="J17" s="7">
        <f>SUM(F17,I17)</f>
        <v>39</v>
      </c>
      <c r="L17" s="1">
        <v>1</v>
      </c>
    </row>
    <row r="18" spans="1:13" x14ac:dyDescent="0.25">
      <c r="E18" t="s">
        <v>72</v>
      </c>
      <c r="F18" s="7">
        <v>19</v>
      </c>
      <c r="I18" s="7">
        <f>PRODUCT(G18,0)</f>
        <v>0</v>
      </c>
      <c r="J18" s="7">
        <f>SUM(F18,I18)</f>
        <v>19</v>
      </c>
      <c r="L18" s="1">
        <v>1</v>
      </c>
    </row>
    <row r="19" spans="1:13" x14ac:dyDescent="0.25">
      <c r="E19" t="s">
        <v>73</v>
      </c>
      <c r="F19" s="7">
        <v>39</v>
      </c>
      <c r="I19" s="7">
        <f>PRODUCT(G19,0)</f>
        <v>0</v>
      </c>
      <c r="J19" s="7">
        <f>SUM(F19,I19)</f>
        <v>39</v>
      </c>
      <c r="L19" s="1">
        <v>1</v>
      </c>
    </row>
    <row r="23" spans="1:13" x14ac:dyDescent="0.25">
      <c r="A23" t="s">
        <v>5</v>
      </c>
      <c r="E23" s="5" t="s">
        <v>74</v>
      </c>
      <c r="F23" t="s">
        <v>3</v>
      </c>
      <c r="I23">
        <f>PRODUCT(VALUE(RIGHT(F23,LEN(F23)-1)))*0.18</f>
        <v>0</v>
      </c>
      <c r="J23" s="7">
        <f>VALUE(RIGHT(F23,LEN(F23)-1))+I23</f>
        <v>0</v>
      </c>
      <c r="K23" s="7"/>
      <c r="L23" s="1">
        <v>1</v>
      </c>
    </row>
    <row r="24" spans="1:13" x14ac:dyDescent="0.25">
      <c r="E24" s="5" t="s">
        <v>75</v>
      </c>
      <c r="G24" t="s">
        <v>6</v>
      </c>
      <c r="H24" t="s">
        <v>2</v>
      </c>
      <c r="I24">
        <f>PRODUCT(VALUE(RIGHT(H24,LEN(H24)-1)),0.18)</f>
        <v>36</v>
      </c>
      <c r="J24" s="7"/>
      <c r="K24" s="7">
        <f>VALUE(RIGHT(H24,LEN(H24)-1))+I24</f>
        <v>236</v>
      </c>
      <c r="L24" s="1">
        <v>1</v>
      </c>
    </row>
    <row r="25" spans="1:13" x14ac:dyDescent="0.25">
      <c r="E25" s="5" t="s">
        <v>76</v>
      </c>
      <c r="F25" t="s">
        <v>1</v>
      </c>
      <c r="I25">
        <f>PRODUCT(VALUE(RIGHT(F25,LEN(F25)-1)),0.18)</f>
        <v>3.5999999999999996</v>
      </c>
      <c r="J25" s="7">
        <f>VALUE(RIGHT(F25,LEN(F25)-1))+I25</f>
        <v>23.6</v>
      </c>
      <c r="K25" s="7"/>
      <c r="L25" s="1">
        <v>1</v>
      </c>
    </row>
    <row r="26" spans="1:13" x14ac:dyDescent="0.25">
      <c r="E26" s="5" t="s">
        <v>77</v>
      </c>
      <c r="F26" t="s">
        <v>13</v>
      </c>
      <c r="I26">
        <f>PRODUCT(VALUE(RIGHT(F26,LEN(F26)-1)),0.18)</f>
        <v>18</v>
      </c>
      <c r="J26" s="7">
        <f>VALUE(RIGHT(F26,LEN(F26)-1))+I26</f>
        <v>118</v>
      </c>
      <c r="K26" s="7"/>
      <c r="L26" s="1">
        <v>1</v>
      </c>
    </row>
    <row r="27" spans="1:13" x14ac:dyDescent="0.25">
      <c r="E27" s="5" t="s">
        <v>78</v>
      </c>
      <c r="F27" t="s">
        <v>2</v>
      </c>
      <c r="I27">
        <f>PRODUCT(VALUE(RIGHT(F27,LEN(F27)-1)),0.18)</f>
        <v>36</v>
      </c>
      <c r="J27" s="7">
        <f>VALUE(RIGHT(F27,LEN(F27)-1))+I27</f>
        <v>236</v>
      </c>
      <c r="K27" s="7"/>
      <c r="L27" s="1">
        <v>1</v>
      </c>
    </row>
    <row r="28" spans="1:13" x14ac:dyDescent="0.25">
      <c r="E28" s="5" t="s">
        <v>79</v>
      </c>
      <c r="G28" t="s">
        <v>1</v>
      </c>
      <c r="I28">
        <f>PRODUCT(VALUE(RIGHT(G28,LEN(G28)-1)),0.18)</f>
        <v>3.5999999999999996</v>
      </c>
      <c r="K28" s="7">
        <f>PRODUCT(VALUE(RIGHT(G28,LEN(G28)-1))+I28,12)</f>
        <v>283.20000000000005</v>
      </c>
      <c r="L28" s="1" t="s">
        <v>32</v>
      </c>
      <c r="M28" s="1">
        <v>1</v>
      </c>
    </row>
    <row r="29" spans="1:13" x14ac:dyDescent="0.25">
      <c r="E29" s="5" t="s">
        <v>80</v>
      </c>
      <c r="F29" t="s">
        <v>20</v>
      </c>
      <c r="I29">
        <f>VALUE(RIGHT(F29,LEN(F29)-1))*0.18</f>
        <v>4.5</v>
      </c>
      <c r="J29" s="7">
        <f>VALUE(RIGHT(F29,LEN(F29)-1))+I29</f>
        <v>29.5</v>
      </c>
      <c r="K29" s="7"/>
      <c r="L29" s="1" t="s">
        <v>32</v>
      </c>
      <c r="M29" s="1">
        <v>1</v>
      </c>
    </row>
    <row r="30" spans="1:13" x14ac:dyDescent="0.25">
      <c r="E30" s="5" t="s">
        <v>81</v>
      </c>
      <c r="G30" t="s">
        <v>13</v>
      </c>
      <c r="I30">
        <f>PRODUCT(VALUE(RIGHT(G30,LEN(G30)-1)))*0.18</f>
        <v>18</v>
      </c>
      <c r="J30" s="7"/>
      <c r="K30" s="7">
        <f>PRODUCT(VALUE(RIGHT(G30,LEN(G30)-1))+I30,12)</f>
        <v>1416</v>
      </c>
      <c r="L30" s="1">
        <v>20</v>
      </c>
      <c r="M30" s="1">
        <v>1</v>
      </c>
    </row>
    <row r="31" spans="1:13" x14ac:dyDescent="0.25">
      <c r="E31" s="5" t="s">
        <v>82</v>
      </c>
      <c r="F31" t="s">
        <v>21</v>
      </c>
      <c r="I31">
        <f>PRODUCT(VALUE(RIGHT(F31,LEN(F31)-1)))*0.18</f>
        <v>22.5</v>
      </c>
      <c r="J31" s="7">
        <f>VALUE(RIGHT(F31,LEN(F31)-1))+I31</f>
        <v>147.5</v>
      </c>
      <c r="K31" s="7"/>
      <c r="L31" s="1">
        <v>20</v>
      </c>
      <c r="M31" s="1">
        <v>1</v>
      </c>
    </row>
    <row r="32" spans="1:13" x14ac:dyDescent="0.25">
      <c r="K32" s="7"/>
    </row>
    <row r="33" spans="1:13" x14ac:dyDescent="0.25">
      <c r="A33" t="s">
        <v>24</v>
      </c>
      <c r="E33" s="6"/>
      <c r="M33" s="1">
        <v>1</v>
      </c>
    </row>
    <row r="34" spans="1:13" x14ac:dyDescent="0.25">
      <c r="A34" t="s">
        <v>112</v>
      </c>
      <c r="E34" s="6"/>
    </row>
    <row r="35" spans="1:13" ht="45" x14ac:dyDescent="0.25">
      <c r="A35" s="11" t="s">
        <v>113</v>
      </c>
      <c r="B35" s="7">
        <v>5</v>
      </c>
      <c r="E35" s="6"/>
    </row>
    <row r="36" spans="1:13" ht="30" x14ac:dyDescent="0.25">
      <c r="A36" s="11" t="s">
        <v>114</v>
      </c>
      <c r="B36" s="7">
        <v>25</v>
      </c>
      <c r="E36" s="6"/>
    </row>
    <row r="37" spans="1:13" ht="30" x14ac:dyDescent="0.25">
      <c r="A37" s="11" t="s">
        <v>115</v>
      </c>
      <c r="B37" s="7">
        <v>6.25</v>
      </c>
      <c r="E37" s="6"/>
    </row>
    <row r="38" spans="1:13" ht="30" x14ac:dyDescent="0.25">
      <c r="A38" s="11" t="s">
        <v>116</v>
      </c>
      <c r="B38" s="7">
        <v>10</v>
      </c>
      <c r="E38" s="6"/>
    </row>
    <row r="39" spans="1:13" ht="30" x14ac:dyDescent="0.25">
      <c r="A39" s="11" t="s">
        <v>117</v>
      </c>
      <c r="B39" s="7">
        <v>0.5</v>
      </c>
      <c r="E39" s="6"/>
    </row>
    <row r="40" spans="1:13" ht="30" x14ac:dyDescent="0.25">
      <c r="A40" s="11" t="s">
        <v>118</v>
      </c>
      <c r="B40" s="7">
        <v>0.08</v>
      </c>
      <c r="E40" s="6"/>
    </row>
    <row r="41" spans="1:13" ht="30" x14ac:dyDescent="0.25">
      <c r="A41" s="11" t="s">
        <v>126</v>
      </c>
      <c r="B41" s="7">
        <f>0.1*B35</f>
        <v>0.5</v>
      </c>
      <c r="E41" s="6"/>
    </row>
    <row r="42" spans="1:13" x14ac:dyDescent="0.25">
      <c r="A42" s="11"/>
      <c r="E42" s="6"/>
    </row>
    <row r="43" spans="1:13" x14ac:dyDescent="0.25">
      <c r="E43" s="6"/>
    </row>
    <row r="44" spans="1:13" x14ac:dyDescent="0.25">
      <c r="A44" s="11" t="s">
        <v>119</v>
      </c>
      <c r="B44" s="13">
        <v>50000</v>
      </c>
      <c r="E44" s="6"/>
    </row>
    <row r="45" spans="1:13" ht="30" x14ac:dyDescent="0.25">
      <c r="A45" s="11" t="s">
        <v>120</v>
      </c>
      <c r="B45" s="13">
        <v>15000</v>
      </c>
      <c r="E45" s="6"/>
    </row>
    <row r="46" spans="1:13" ht="30" x14ac:dyDescent="0.25">
      <c r="A46" s="11" t="s">
        <v>121</v>
      </c>
      <c r="B46" s="13">
        <v>1</v>
      </c>
      <c r="E46" s="6"/>
    </row>
    <row r="47" spans="1:13" x14ac:dyDescent="0.25">
      <c r="A47" s="11" t="s">
        <v>122</v>
      </c>
      <c r="B47" s="13">
        <f>SUM(((B35/1000000)*B44),(B36/1000000)*B45,B40*B46)</f>
        <v>0.70499999999999996</v>
      </c>
      <c r="E47" s="6"/>
    </row>
    <row r="48" spans="1:13" x14ac:dyDescent="0.25">
      <c r="B48" s="13"/>
      <c r="E48" s="6"/>
    </row>
    <row r="49" spans="1:5" x14ac:dyDescent="0.25">
      <c r="B49" s="13"/>
      <c r="E49" s="6"/>
    </row>
    <row r="50" spans="1:5" x14ac:dyDescent="0.25">
      <c r="A50" s="11" t="s">
        <v>119</v>
      </c>
      <c r="B50" s="12">
        <v>10000</v>
      </c>
      <c r="E50" s="6"/>
    </row>
    <row r="51" spans="1:5" ht="30" x14ac:dyDescent="0.25">
      <c r="A51" s="11" t="s">
        <v>123</v>
      </c>
      <c r="B51" s="12">
        <v>40000</v>
      </c>
      <c r="E51" s="6"/>
    </row>
    <row r="52" spans="1:5" ht="30" x14ac:dyDescent="0.25">
      <c r="A52" s="11" t="s">
        <v>120</v>
      </c>
      <c r="B52" s="12">
        <v>15000</v>
      </c>
      <c r="E52" s="6"/>
    </row>
    <row r="53" spans="1:5" ht="30" x14ac:dyDescent="0.25">
      <c r="A53" s="11" t="s">
        <v>124</v>
      </c>
      <c r="B53" s="12">
        <v>1</v>
      </c>
      <c r="E53" s="6"/>
    </row>
    <row r="54" spans="1:5" x14ac:dyDescent="0.25">
      <c r="A54" s="11" t="s">
        <v>125</v>
      </c>
      <c r="B54" s="7">
        <f>SUM((B35/1000000)*B50,(B35/1000000)*0.1*B51,(B36/1000000)*B52, B40*B53)</f>
        <v>0.52500000000000002</v>
      </c>
      <c r="E54" s="6"/>
    </row>
    <row r="55" spans="1:5" x14ac:dyDescent="0.25">
      <c r="E55" s="6"/>
    </row>
    <row r="56" spans="1:5" x14ac:dyDescent="0.25">
      <c r="E56" s="6"/>
    </row>
    <row r="57" spans="1:5" x14ac:dyDescent="0.25">
      <c r="A57" t="s">
        <v>37</v>
      </c>
      <c r="E57" s="6"/>
    </row>
    <row r="58" spans="1:5" x14ac:dyDescent="0.25">
      <c r="E58" s="6"/>
    </row>
    <row r="59" spans="1:5" x14ac:dyDescent="0.25">
      <c r="E59" s="6"/>
    </row>
    <row r="62" spans="1:5" x14ac:dyDescent="0.25">
      <c r="A62" t="s">
        <v>38</v>
      </c>
    </row>
    <row r="68" spans="1:13" x14ac:dyDescent="0.25">
      <c r="A68" t="s">
        <v>7</v>
      </c>
      <c r="E68" t="s">
        <v>83</v>
      </c>
      <c r="F68" t="s">
        <v>3</v>
      </c>
    </row>
    <row r="69" spans="1:13" x14ac:dyDescent="0.25">
      <c r="E69" t="s">
        <v>84</v>
      </c>
      <c r="F69" s="8">
        <f>399/95.79</f>
        <v>4.1653617287817095</v>
      </c>
      <c r="I69">
        <v>0</v>
      </c>
      <c r="J69" s="9">
        <f>PRODUCT(F69+I69, M69)</f>
        <v>4.1653617287817095</v>
      </c>
    </row>
    <row r="70" spans="1:13" x14ac:dyDescent="0.25">
      <c r="E70" t="s">
        <v>85</v>
      </c>
      <c r="F70" s="8">
        <f>1999/95.79</f>
        <v>20.868566656227163</v>
      </c>
      <c r="I70">
        <v>0</v>
      </c>
      <c r="J70" s="9">
        <f>PRODUCT(F70+I70, M70)</f>
        <v>20.868566656227163</v>
      </c>
    </row>
    <row r="71" spans="1:13" x14ac:dyDescent="0.25">
      <c r="E71" t="s">
        <v>86</v>
      </c>
      <c r="F71" s="8">
        <f>10699/95.79</f>
        <v>111.69224344921182</v>
      </c>
      <c r="I71">
        <v>0</v>
      </c>
      <c r="J71" s="9">
        <f>PRODUCT(F71+I71, M71)</f>
        <v>111.69224344921182</v>
      </c>
    </row>
    <row r="72" spans="1:13" x14ac:dyDescent="0.25">
      <c r="E72" t="s">
        <v>87</v>
      </c>
      <c r="F72" s="8">
        <f>2250/95.79</f>
        <v>23.488881929220167</v>
      </c>
      <c r="I72">
        <v>0</v>
      </c>
      <c r="J72" s="9">
        <f>PRODUCT(F72+I72, M72)</f>
        <v>46.977763858440333</v>
      </c>
      <c r="M72" s="1">
        <v>2</v>
      </c>
    </row>
    <row r="73" spans="1:13" x14ac:dyDescent="0.25">
      <c r="E73" t="s">
        <v>88</v>
      </c>
      <c r="G73" s="8">
        <f>1800/95.79</f>
        <v>18.791105543376133</v>
      </c>
      <c r="I73">
        <v>0</v>
      </c>
      <c r="K73" s="7">
        <f>PRODUCT(G73+I73, M73,12)</f>
        <v>450.9865330410272</v>
      </c>
      <c r="M73" s="1">
        <v>2</v>
      </c>
    </row>
    <row r="77" spans="1:13" x14ac:dyDescent="0.25">
      <c r="A77" t="s">
        <v>23</v>
      </c>
    </row>
    <row r="78" spans="1:13" x14ac:dyDescent="0.25">
      <c r="A78" t="s">
        <v>109</v>
      </c>
      <c r="C78" t="s">
        <v>111</v>
      </c>
    </row>
    <row r="79" spans="1:13" ht="30" x14ac:dyDescent="0.25">
      <c r="A79" s="11" t="s">
        <v>127</v>
      </c>
      <c r="B79" s="14">
        <v>5</v>
      </c>
    </row>
    <row r="80" spans="1:13" ht="30" x14ac:dyDescent="0.25">
      <c r="A80" s="11" t="s">
        <v>128</v>
      </c>
      <c r="B80" s="14">
        <v>0.5</v>
      </c>
    </row>
    <row r="81" spans="1:11" ht="30" x14ac:dyDescent="0.25">
      <c r="A81" s="11" t="s">
        <v>129</v>
      </c>
      <c r="B81" s="14">
        <v>30</v>
      </c>
    </row>
    <row r="82" spans="1:11" ht="30" x14ac:dyDescent="0.25">
      <c r="A82" s="11" t="s">
        <v>130</v>
      </c>
      <c r="B82" s="15">
        <v>105000</v>
      </c>
    </row>
    <row r="83" spans="1:11" x14ac:dyDescent="0.25">
      <c r="A83" s="11" t="s">
        <v>131</v>
      </c>
      <c r="B83" s="15">
        <v>128000</v>
      </c>
    </row>
    <row r="84" spans="1:11" x14ac:dyDescent="0.25">
      <c r="B84" s="14"/>
    </row>
    <row r="85" spans="1:11" x14ac:dyDescent="0.25">
      <c r="B85" s="14"/>
    </row>
    <row r="86" spans="1:11" x14ac:dyDescent="0.25">
      <c r="B86" s="14"/>
    </row>
    <row r="87" spans="1:11" x14ac:dyDescent="0.25">
      <c r="B87" s="14"/>
    </row>
    <row r="89" spans="1:11" x14ac:dyDescent="0.25">
      <c r="A89" t="s">
        <v>9</v>
      </c>
      <c r="E89" t="s">
        <v>89</v>
      </c>
      <c r="F89" s="7">
        <v>0</v>
      </c>
      <c r="G89" s="7"/>
      <c r="I89">
        <v>0</v>
      </c>
      <c r="J89" s="7">
        <f>SUM(F89,I89)</f>
        <v>0</v>
      </c>
    </row>
    <row r="90" spans="1:11" x14ac:dyDescent="0.25">
      <c r="E90" t="s">
        <v>90</v>
      </c>
      <c r="F90" s="7">
        <f>399/95.79</f>
        <v>4.1653617287817095</v>
      </c>
      <c r="G90" s="7"/>
      <c r="I90">
        <v>0</v>
      </c>
      <c r="J90" s="7">
        <f>SUM(F90,I90)</f>
        <v>4.1653617287817095</v>
      </c>
    </row>
    <row r="91" spans="1:11" x14ac:dyDescent="0.25">
      <c r="E91" t="s">
        <v>91</v>
      </c>
      <c r="F91" s="7"/>
      <c r="G91" s="7">
        <f>4000/95.79</f>
        <v>41.75801231861363</v>
      </c>
      <c r="I91">
        <v>0</v>
      </c>
      <c r="K91" s="7">
        <f>SUM(G91,I91)</f>
        <v>41.75801231861363</v>
      </c>
    </row>
    <row r="92" spans="1:11" x14ac:dyDescent="0.25">
      <c r="E92" t="s">
        <v>92</v>
      </c>
      <c r="F92" s="7">
        <f>1950/95.79</f>
        <v>20.357031005324146</v>
      </c>
      <c r="I92">
        <v>0</v>
      </c>
      <c r="J92" s="7">
        <f>SUM(F92,I92)</f>
        <v>20.357031005324146</v>
      </c>
    </row>
    <row r="93" spans="1:11" x14ac:dyDescent="0.25">
      <c r="E93" t="s">
        <v>93</v>
      </c>
      <c r="F93" s="7"/>
      <c r="G93" s="7">
        <f>19500/95.79</f>
        <v>203.57031005324146</v>
      </c>
      <c r="I93">
        <v>0</v>
      </c>
      <c r="K93" s="7">
        <f>SUM(G93,I93)</f>
        <v>203.57031005324146</v>
      </c>
    </row>
    <row r="94" spans="1:11" x14ac:dyDescent="0.25">
      <c r="E94" t="s">
        <v>94</v>
      </c>
      <c r="F94" s="7">
        <f>6500/95.79</f>
        <v>67.856770017747152</v>
      </c>
      <c r="G94" s="7"/>
      <c r="I94">
        <v>0</v>
      </c>
      <c r="J94" s="7">
        <f>SUM(F94,I94)</f>
        <v>67.856770017747152</v>
      </c>
    </row>
    <row r="95" spans="1:11" x14ac:dyDescent="0.25">
      <c r="E95" t="s">
        <v>95</v>
      </c>
      <c r="G95" s="7">
        <f>6500/95.79</f>
        <v>67.856770017747152</v>
      </c>
      <c r="I95">
        <v>0</v>
      </c>
      <c r="K95" s="7">
        <f>SUM(G95,I95)</f>
        <v>67.856770017747152</v>
      </c>
    </row>
    <row r="97" spans="1:13" x14ac:dyDescent="0.25">
      <c r="A97" t="s">
        <v>26</v>
      </c>
    </row>
    <row r="104" spans="1:13" x14ac:dyDescent="0.25">
      <c r="A104" t="s">
        <v>10</v>
      </c>
      <c r="E104" t="s">
        <v>96</v>
      </c>
      <c r="F104" s="7">
        <v>0</v>
      </c>
      <c r="I104" s="7">
        <f>F104*0.18</f>
        <v>0</v>
      </c>
      <c r="J104" s="7">
        <f>SUM(F104,I104)</f>
        <v>0</v>
      </c>
    </row>
    <row r="105" spans="1:13" x14ac:dyDescent="0.25">
      <c r="E105" t="s">
        <v>97</v>
      </c>
      <c r="F105" s="7">
        <v>20</v>
      </c>
      <c r="I105" s="7">
        <f>F105*0.18</f>
        <v>3.5999999999999996</v>
      </c>
      <c r="J105" s="7">
        <f>SUM(F105,I105)</f>
        <v>23.6</v>
      </c>
    </row>
    <row r="106" spans="1:13" x14ac:dyDescent="0.25">
      <c r="E106" t="s">
        <v>98</v>
      </c>
      <c r="F106" s="7">
        <v>200</v>
      </c>
      <c r="I106" s="7">
        <f>F106*0.18</f>
        <v>36</v>
      </c>
      <c r="J106" s="7">
        <f>SUM(F106,I106)</f>
        <v>236</v>
      </c>
    </row>
    <row r="107" spans="1:13" x14ac:dyDescent="0.25">
      <c r="E107" t="s">
        <v>99</v>
      </c>
      <c r="F107" s="7">
        <v>40</v>
      </c>
      <c r="I107" s="7">
        <f>F107*0.18</f>
        <v>7.1999999999999993</v>
      </c>
      <c r="J107" s="7">
        <f>PRODUCT(SUM(F107,I107),M107)</f>
        <v>94.4</v>
      </c>
      <c r="L107" s="1">
        <v>1</v>
      </c>
      <c r="M107" s="1">
        <v>2</v>
      </c>
    </row>
    <row r="109" spans="1:13" x14ac:dyDescent="0.25">
      <c r="A109" t="s">
        <v>12</v>
      </c>
      <c r="E109" t="s">
        <v>100</v>
      </c>
      <c r="F109" s="7">
        <v>0</v>
      </c>
      <c r="I109">
        <v>0</v>
      </c>
      <c r="J109" s="7">
        <f>PRODUCT(SUM(F109,I109),L109)</f>
        <v>0</v>
      </c>
      <c r="L109" s="1">
        <v>2</v>
      </c>
    </row>
    <row r="110" spans="1:13" x14ac:dyDescent="0.25">
      <c r="E110" t="s">
        <v>101</v>
      </c>
      <c r="F110" s="7">
        <v>30</v>
      </c>
      <c r="I110">
        <v>0</v>
      </c>
      <c r="J110" s="7">
        <f>PRODUCT(SUM(F110,I110),L110)</f>
        <v>30</v>
      </c>
      <c r="L110" s="1">
        <v>1</v>
      </c>
    </row>
    <row r="111" spans="1:13" x14ac:dyDescent="0.25">
      <c r="E111" t="s">
        <v>102</v>
      </c>
      <c r="F111" s="7">
        <v>100</v>
      </c>
      <c r="I111">
        <v>0</v>
      </c>
      <c r="J111" s="7">
        <f>PRODUCT(SUM(F111,I111),L111)</f>
        <v>200</v>
      </c>
      <c r="L111" s="1">
        <v>2</v>
      </c>
    </row>
    <row r="113" spans="1:13" x14ac:dyDescent="0.25">
      <c r="A113" t="s">
        <v>11</v>
      </c>
      <c r="E113" t="s">
        <v>103</v>
      </c>
      <c r="F113" s="7">
        <f>700/95.79</f>
        <v>7.3076521557573857</v>
      </c>
      <c r="G113" s="7"/>
      <c r="I113">
        <v>0</v>
      </c>
      <c r="J113" s="7">
        <f>SUM(F113,I113)</f>
        <v>7.3076521557573857</v>
      </c>
    </row>
    <row r="114" spans="1:13" x14ac:dyDescent="0.25">
      <c r="E114" t="s">
        <v>104</v>
      </c>
      <c r="F114" s="7">
        <v>30</v>
      </c>
      <c r="G114" s="7"/>
      <c r="I114">
        <v>0</v>
      </c>
      <c r="J114" s="7">
        <f>SUM(F114,I114)</f>
        <v>30</v>
      </c>
      <c r="M114" s="1">
        <v>1</v>
      </c>
    </row>
    <row r="115" spans="1:13" x14ac:dyDescent="0.25">
      <c r="E115" t="s">
        <v>105</v>
      </c>
      <c r="F115" s="7">
        <v>300</v>
      </c>
      <c r="G115" s="7"/>
      <c r="I115">
        <v>0</v>
      </c>
      <c r="J115" s="7">
        <f>SUM(F115,I115)</f>
        <v>300</v>
      </c>
      <c r="M115" s="1">
        <v>1</v>
      </c>
    </row>
    <row r="116" spans="1:13" x14ac:dyDescent="0.25">
      <c r="E116" t="s">
        <v>106</v>
      </c>
      <c r="G116" s="7">
        <v>300</v>
      </c>
      <c r="I116">
        <v>0</v>
      </c>
      <c r="K116" s="7">
        <f>PRODUCT(SUM(G116,I116),12)</f>
        <v>3600</v>
      </c>
      <c r="M116" s="1">
        <v>1</v>
      </c>
    </row>
    <row r="117" spans="1:13" x14ac:dyDescent="0.25">
      <c r="E117" t="s">
        <v>107</v>
      </c>
      <c r="G117" s="7">
        <v>3000</v>
      </c>
      <c r="I117">
        <v>0</v>
      </c>
      <c r="K117" s="7">
        <f>PRODUCT(SUM(G117,I117),12)</f>
        <v>36000</v>
      </c>
      <c r="M117" s="1">
        <v>1</v>
      </c>
    </row>
    <row r="123" spans="1:13" x14ac:dyDescent="0.25">
      <c r="A123" t="s">
        <v>25</v>
      </c>
    </row>
    <row r="124" spans="1:13" x14ac:dyDescent="0.25">
      <c r="A124" t="s">
        <v>41</v>
      </c>
      <c r="D124" t="s">
        <v>42</v>
      </c>
    </row>
    <row r="125" spans="1:13" x14ac:dyDescent="0.25">
      <c r="D125" t="s">
        <v>43</v>
      </c>
    </row>
  </sheetData>
  <dataValidations disablePrompts="1" count="3">
    <dataValidation operator="greaterThanOrEqual" showErrorMessage="1" promptTitle="Input value" prompt="For chatgpt business plan with monthly billing seats must be greater than 2" sqref="L72" xr:uid="{AB019136-2B35-41BF-AAE3-7F915B8E1897}"/>
    <dataValidation type="decimal" operator="greaterThanOrEqual" allowBlank="1" showInputMessage="1" showErrorMessage="1" sqref="M73:N73 M107:N107" xr:uid="{8F453106-93E4-43B4-9F00-8386506E300D}">
      <formula1>2</formula1>
    </dataValidation>
    <dataValidation type="decimal" operator="greaterThanOrEqual" allowBlank="1" showInputMessage="1" showErrorMessage="1" promptTitle="input data valid" prompt="for Chatgpt business plan, seat number must be &gt;=2" sqref="M72:N72" xr:uid="{C3EC9F79-5D8D-4E87-BF0C-5E945135986B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0711-24E6-4E58-A405-E79ED381D6C3}">
  <dimension ref="A1:H9"/>
  <sheetViews>
    <sheetView tabSelected="1" workbookViewId="0">
      <selection activeCell="A8" sqref="A8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18.5703125" bestFit="1" customWidth="1"/>
    <col min="4" max="4" width="36.7109375" bestFit="1" customWidth="1"/>
    <col min="5" max="5" width="19.85546875" bestFit="1" customWidth="1"/>
    <col min="6" max="6" width="18" bestFit="1" customWidth="1"/>
    <col min="7" max="7" width="32.5703125" customWidth="1"/>
    <col min="8" max="8" width="36.7109375" bestFit="1" customWidth="1"/>
  </cols>
  <sheetData>
    <row r="1" spans="1:8" ht="37.5" x14ac:dyDescent="0.3">
      <c r="A1" s="2" t="s">
        <v>47</v>
      </c>
      <c r="B1" s="2" t="s">
        <v>49</v>
      </c>
      <c r="C1" s="2" t="s">
        <v>46</v>
      </c>
      <c r="D1" s="2" t="s">
        <v>50</v>
      </c>
      <c r="E1" s="2" t="s">
        <v>44</v>
      </c>
      <c r="F1" s="2" t="s">
        <v>45</v>
      </c>
      <c r="G1" s="3" t="s">
        <v>28</v>
      </c>
      <c r="H1" s="2" t="s">
        <v>55</v>
      </c>
    </row>
    <row r="2" spans="1:8" x14ac:dyDescent="0.25">
      <c r="A2" t="s">
        <v>48</v>
      </c>
      <c r="B2" t="s">
        <v>51</v>
      </c>
      <c r="C2" t="s">
        <v>39</v>
      </c>
      <c r="D2" s="7">
        <v>58</v>
      </c>
      <c r="F2">
        <v>2</v>
      </c>
      <c r="G2" t="s">
        <v>52</v>
      </c>
      <c r="H2" s="7">
        <f>F2*23.6</f>
        <v>47.2</v>
      </c>
    </row>
    <row r="3" spans="1:8" x14ac:dyDescent="0.25">
      <c r="A3" t="s">
        <v>48</v>
      </c>
      <c r="B3" t="s">
        <v>51</v>
      </c>
      <c r="C3" t="s">
        <v>40</v>
      </c>
      <c r="D3" s="7"/>
      <c r="F3">
        <v>1</v>
      </c>
      <c r="H3" s="7">
        <f>47.2*F3</f>
        <v>47.2</v>
      </c>
    </row>
    <row r="5" spans="1:8" x14ac:dyDescent="0.25">
      <c r="A5" t="s">
        <v>56</v>
      </c>
      <c r="B5" t="s">
        <v>51</v>
      </c>
      <c r="C5" t="s">
        <v>34</v>
      </c>
      <c r="D5" s="7"/>
      <c r="F5">
        <v>3</v>
      </c>
      <c r="H5" s="7">
        <f>10*F5</f>
        <v>30</v>
      </c>
    </row>
    <row r="7" spans="1:8" x14ac:dyDescent="0.25">
      <c r="A7" t="s">
        <v>57</v>
      </c>
      <c r="B7" t="s">
        <v>51</v>
      </c>
      <c r="C7" t="s">
        <v>34</v>
      </c>
      <c r="D7" s="7"/>
      <c r="F7">
        <v>2</v>
      </c>
      <c r="H7" s="7">
        <f>23.6*F7</f>
        <v>47.2</v>
      </c>
    </row>
    <row r="8" spans="1:8" x14ac:dyDescent="0.25">
      <c r="A8" t="s">
        <v>57</v>
      </c>
      <c r="B8" t="s">
        <v>51</v>
      </c>
      <c r="C8" t="s">
        <v>58</v>
      </c>
      <c r="D8" s="7"/>
      <c r="F8">
        <v>2</v>
      </c>
      <c r="H8" s="7">
        <f>29.5*F8</f>
        <v>59</v>
      </c>
    </row>
    <row r="9" spans="1:8" x14ac:dyDescent="0.25">
      <c r="A9" t="s">
        <v>57</v>
      </c>
      <c r="B9" t="s">
        <v>51</v>
      </c>
      <c r="C9" t="s">
        <v>108</v>
      </c>
    </row>
  </sheetData>
  <dataValidations count="4">
    <dataValidation type="list" allowBlank="1" showInputMessage="1" showErrorMessage="1" sqref="A1:A1048576" xr:uid="{EFA05772-5A6E-45B2-AA46-57219E33A43F}">
      <formula1>"Cursor,Github Copilot, Claude, Chatgpt, Anthropic API, openAI api, Gemini, Windsurf, v0, grok, Deepseek"</formula1>
    </dataValidation>
    <dataValidation type="list" allowBlank="1" showInputMessage="1" showErrorMessage="1" sqref="C1:C1048576" xr:uid="{1A89D59D-FD28-4533-B7F8-292B65D2E166}">
      <formula1>"Free, Pro, Max10x, Max 20x, Team Standard, Team Premium, Enterprise, Free, Pro, Pro+, Business, Enterprise, Hobby,Individual Pro, Individual Pro+, Individual Ultra, Teams, Enterprise"</formula1>
    </dataValidation>
    <dataValidation type="list" allowBlank="1" showInputMessage="1" showErrorMessage="1" sqref="B1:B1048576" xr:uid="{3319743B-AF2C-4703-8954-59022A20D387}">
      <formula1>"yearly,monthly"</formula1>
    </dataValidation>
    <dataValidation type="list" allowBlank="1" showInputMessage="1" showErrorMessage="1" sqref="G1:G1048576" xr:uid="{14BF6572-A850-4627-AD85-FC0373BFA896}">
      <formula1>"coding,writing,data,research,mixed"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shobhit-verma</dc:creator>
  <cp:lastModifiedBy>find shobhit</cp:lastModifiedBy>
  <dcterms:created xsi:type="dcterms:W3CDTF">2015-06-05T18:17:20Z</dcterms:created>
  <dcterms:modified xsi:type="dcterms:W3CDTF">2026-05-22T18:04:07Z</dcterms:modified>
</cp:coreProperties>
</file>