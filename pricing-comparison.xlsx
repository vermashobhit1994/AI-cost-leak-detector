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J:\projects\leak-AI-cost-detector\"/>
    </mc:Choice>
  </mc:AlternateContent>
  <xr:revisionPtr revIDLastSave="0" documentId="13_ncr:1_{B4834485-6CD0-4336-A480-26750146DB09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Sheet1!$K$1:$K$140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77" i="1" l="1"/>
  <c r="F83" i="1" s="1"/>
  <c r="F82" i="1"/>
  <c r="F81" i="1"/>
  <c r="F80" i="1"/>
  <c r="F79" i="1"/>
  <c r="F78" i="1"/>
  <c r="F72" i="1"/>
  <c r="B54" i="1"/>
  <c r="B41" i="1"/>
  <c r="B47" i="1"/>
  <c r="I4" i="1"/>
  <c r="J4" i="1" s="1"/>
  <c r="H8" i="2"/>
  <c r="H7" i="2"/>
  <c r="H5" i="2"/>
  <c r="H3" i="2"/>
  <c r="H2" i="2"/>
  <c r="I16" i="1"/>
  <c r="J16" i="1" s="1"/>
  <c r="I17" i="1"/>
  <c r="J17" i="1" s="1"/>
  <c r="I18" i="1"/>
  <c r="J18" i="1" s="1"/>
  <c r="I19" i="1"/>
  <c r="J19" i="1" s="1"/>
  <c r="I15" i="1"/>
  <c r="J15" i="1" s="1"/>
  <c r="I9" i="1"/>
  <c r="K9" i="1" s="1"/>
  <c r="I10" i="1"/>
  <c r="K10" i="1" s="1"/>
  <c r="I11" i="1"/>
  <c r="K11" i="1" s="1"/>
  <c r="I12" i="1"/>
  <c r="K12" i="1" s="1"/>
  <c r="I8" i="1"/>
  <c r="K8" i="1" s="1"/>
  <c r="I3" i="1"/>
  <c r="J3" i="1" s="1"/>
  <c r="I5" i="1"/>
  <c r="J5" i="1" s="1"/>
  <c r="I6" i="1"/>
  <c r="J6" i="1" s="1"/>
  <c r="I2" i="1"/>
  <c r="J2" i="1" s="1"/>
  <c r="K132" i="1"/>
  <c r="K131" i="1"/>
  <c r="J129" i="1"/>
  <c r="J130" i="1"/>
  <c r="F128" i="1"/>
  <c r="J128" i="1" s="1"/>
  <c r="J124" i="1"/>
  <c r="J125" i="1"/>
  <c r="J126" i="1"/>
  <c r="I119" i="1"/>
  <c r="J119" i="1" s="1"/>
  <c r="I121" i="1"/>
  <c r="J121" i="1" s="1"/>
  <c r="I122" i="1"/>
  <c r="J122" i="1" s="1"/>
  <c r="I120" i="1"/>
  <c r="J120" i="1" s="1"/>
  <c r="G106" i="1"/>
  <c r="K106" i="1" s="1"/>
  <c r="F105" i="1"/>
  <c r="J105" i="1" s="1"/>
  <c r="G104" i="1"/>
  <c r="K104" i="1" s="1"/>
  <c r="F103" i="1"/>
  <c r="J103" i="1" s="1"/>
  <c r="G102" i="1"/>
  <c r="K102" i="1" s="1"/>
  <c r="F101" i="1"/>
  <c r="J101" i="1" s="1"/>
  <c r="J100" i="1"/>
  <c r="G73" i="1"/>
  <c r="K73" i="1" s="1"/>
  <c r="J72" i="1"/>
  <c r="F70" i="1"/>
  <c r="J70" i="1" s="1"/>
  <c r="F69" i="1"/>
  <c r="J69" i="1" s="1"/>
  <c r="F71" i="1"/>
  <c r="J71" i="1" s="1"/>
  <c r="I27" i="1"/>
  <c r="J27" i="1" s="1"/>
  <c r="I24" i="1"/>
  <c r="K24" i="1" s="1"/>
  <c r="I25" i="1"/>
  <c r="J25" i="1" s="1"/>
  <c r="I26" i="1"/>
  <c r="J26" i="1" s="1"/>
  <c r="I28" i="1"/>
  <c r="K28" i="1" s="1"/>
  <c r="I29" i="1"/>
  <c r="J29" i="1" s="1"/>
  <c r="I23" i="1"/>
  <c r="J23" i="1" s="1"/>
  <c r="I31" i="1"/>
  <c r="I30" i="1"/>
  <c r="K30" i="1" s="1"/>
  <c r="J31" i="1" l="1"/>
</calcChain>
</file>

<file path=xl/sharedStrings.xml><?xml version="1.0" encoding="utf-8"?>
<sst xmlns="http://schemas.openxmlformats.org/spreadsheetml/2006/main" count="165" uniqueCount="148">
  <si>
    <t>cursor</t>
  </si>
  <si>
    <t>$20</t>
  </si>
  <si>
    <t>$200</t>
  </si>
  <si>
    <t>$0</t>
  </si>
  <si>
    <t>github copilot</t>
  </si>
  <si>
    <t>claude code</t>
  </si>
  <si>
    <t>$17</t>
  </si>
  <si>
    <t>chatgpt</t>
  </si>
  <si>
    <t>number of users</t>
  </si>
  <si>
    <t>Google gemini</t>
  </si>
  <si>
    <t>windsurf</t>
  </si>
  <si>
    <t>grok</t>
  </si>
  <si>
    <t>v0</t>
  </si>
  <si>
    <t>$100</t>
  </si>
  <si>
    <t>yearly charges($)</t>
  </si>
  <si>
    <t>yearly charges($) / month</t>
  </si>
  <si>
    <t>Total yearly amount($)
(paid yearly)</t>
  </si>
  <si>
    <t>Total yearly amount($)
(paid monthly)</t>
  </si>
  <si>
    <t>loss in payment when payed monthly</t>
  </si>
  <si>
    <t>tax</t>
  </si>
  <si>
    <t>$25</t>
  </si>
  <si>
    <t>$125</t>
  </si>
  <si>
    <t>number of seats</t>
  </si>
  <si>
    <t>openai API</t>
  </si>
  <si>
    <t>anthropic API</t>
  </si>
  <si>
    <t>deepseek API</t>
  </si>
  <si>
    <t>google API</t>
  </si>
  <si>
    <t>Team size</t>
  </si>
  <si>
    <t>purpose or 
primary usecase</t>
  </si>
  <si>
    <t>monthly charges
(tool plan)</t>
  </si>
  <si>
    <t>plan name</t>
  </si>
  <si>
    <t>tool plan charges + tax 
(per month) to be paid by user</t>
  </si>
  <si>
    <t>5-150</t>
  </si>
  <si>
    <t>tool plan charges + tax
(per year) to be paid by user</t>
  </si>
  <si>
    <t>Pro</t>
  </si>
  <si>
    <t>tool / AI model</t>
  </si>
  <si>
    <t>Model 1 API cost</t>
  </si>
  <si>
    <t>Sonnet 4.6</t>
  </si>
  <si>
    <t>Haiku 4.5</t>
  </si>
  <si>
    <t>Individual Pro</t>
  </si>
  <si>
    <t>Teams</t>
  </si>
  <si>
    <t>free chat</t>
  </si>
  <si>
    <t>$0/month</t>
  </si>
  <si>
    <t>$0.14/1M tokens</t>
  </si>
  <si>
    <t>user given seats</t>
  </si>
  <si>
    <t>user team size</t>
  </si>
  <si>
    <t>user input plan</t>
  </si>
  <si>
    <t>user AI Tool</t>
  </si>
  <si>
    <t>Cursor</t>
  </si>
  <si>
    <t>Yearly/Monthly</t>
  </si>
  <si>
    <t>user current monthly spend</t>
  </si>
  <si>
    <t>monthly</t>
  </si>
  <si>
    <t>coding</t>
  </si>
  <si>
    <t>max number of 
devices allowed for 
one account</t>
  </si>
  <si>
    <t>3 but not accessing simulateously</t>
  </si>
  <si>
    <t>estimated user monthly spend</t>
  </si>
  <si>
    <t>Github Copilot</t>
  </si>
  <si>
    <t>Claude</t>
  </si>
  <si>
    <t>Team Standard</t>
  </si>
  <si>
    <t>cursor Hobby Yearly</t>
  </si>
  <si>
    <t>cursor Individual Pro Yearly</t>
  </si>
  <si>
    <t>cursor Individual Pro+ Yearly</t>
  </si>
  <si>
    <t>cursor Individual Ultra Yearly</t>
  </si>
  <si>
    <t>cursor Teams Yearly</t>
  </si>
  <si>
    <t>cursor Hobby Monthly</t>
  </si>
  <si>
    <t>cursor Individual Pro Monthly</t>
  </si>
  <si>
    <t>cursor Individual Pro+ Monthly</t>
  </si>
  <si>
    <t>cursor Individual Ultra Monthly</t>
  </si>
  <si>
    <t>cursor Teams Monthly</t>
  </si>
  <si>
    <t>copilot free Monthly</t>
  </si>
  <si>
    <t>copilot Pro Monthly</t>
  </si>
  <si>
    <t>copilot Pro+ Monthly</t>
  </si>
  <si>
    <t>copilot Business Monthly</t>
  </si>
  <si>
    <t>copilot enterprise Monthly</t>
  </si>
  <si>
    <t>claude Free Monthly</t>
  </si>
  <si>
    <t>claude Pro Yearly</t>
  </si>
  <si>
    <t>claude Pro Monthly</t>
  </si>
  <si>
    <t>claude Max 5x Monthly</t>
  </si>
  <si>
    <t>claude Max 20x Monthly</t>
  </si>
  <si>
    <t>claude Team 1x Yearly</t>
  </si>
  <si>
    <t>claude Team 1x Monthly</t>
  </si>
  <si>
    <t>claude Team 5x Yearly</t>
  </si>
  <si>
    <t>claude Team 5x Monthly</t>
  </si>
  <si>
    <t>chatgpt free Monthly</t>
  </si>
  <si>
    <t>chatgpt Go Monthly</t>
  </si>
  <si>
    <t>chatgpt plus Monthly</t>
  </si>
  <si>
    <t>chatgpt Pro Monthly</t>
  </si>
  <si>
    <t>chatgpt Business Monthly</t>
  </si>
  <si>
    <t>chatgpt Business Yearly</t>
  </si>
  <si>
    <t>Gemini Free Monthly</t>
  </si>
  <si>
    <t>Gemini Google AI plus Monthly</t>
  </si>
  <si>
    <t>Gemini Google AI plus Yearly</t>
  </si>
  <si>
    <t>Gemini Google AI pro Monthly</t>
  </si>
  <si>
    <t>Gemini Google AI pro Yearly</t>
  </si>
  <si>
    <t>Gemini google ai ultra Monthly</t>
  </si>
  <si>
    <t>Gemini google ai ultra Yearly</t>
  </si>
  <si>
    <t>windsurf Free Monthly</t>
  </si>
  <si>
    <t>windsurf Pro Monthly</t>
  </si>
  <si>
    <t>windsurf MAX Monthly</t>
  </si>
  <si>
    <t>windsurf TEAMS Monthly</t>
  </si>
  <si>
    <t>v0 Free Monthly</t>
  </si>
  <si>
    <t>v0 Team Monthly</t>
  </si>
  <si>
    <t>v0 Business Monthly</t>
  </si>
  <si>
    <t>grok Individual Montly</t>
  </si>
  <si>
    <t>grok business - supergrok Monthly</t>
  </si>
  <si>
    <t>grok business - supergrok heavy Monthly</t>
  </si>
  <si>
    <t>grok business-supergrok Yearly</t>
  </si>
  <si>
    <t>grok business-supergrok heavy Yearly</t>
  </si>
  <si>
    <t>Team Premium</t>
  </si>
  <si>
    <t>GPT-5.5</t>
  </si>
  <si>
    <t>purpose of AI model</t>
  </si>
  <si>
    <t>complex reasoning and coding</t>
  </si>
  <si>
    <t>claude opus 4.7</t>
  </si>
  <si>
    <t>base input tokens cost  
per million</t>
  </si>
  <si>
    <t>output tokens cost 
per million</t>
  </si>
  <si>
    <t>5m cache write cost 
per million</t>
  </si>
  <si>
    <t>1hr cache write cost 
per million</t>
  </si>
  <si>
    <t>cache hit and refresh cost per million</t>
  </si>
  <si>
    <t>session run time cost 
per hour</t>
  </si>
  <si>
    <t>input tokens number</t>
  </si>
  <si>
    <t>output tokens number</t>
  </si>
  <si>
    <t>session run time 
per hour</t>
  </si>
  <si>
    <t>total cost</t>
  </si>
  <si>
    <t>cache read input tokens number</t>
  </si>
  <si>
    <t>session runtime per hour</t>
  </si>
  <si>
    <t xml:space="preserve">total cost </t>
  </si>
  <si>
    <t>cache read token cost per million</t>
  </si>
  <si>
    <t>input tokens cost 
per million tokens</t>
  </si>
  <si>
    <t>cached input cost 
per million tokens</t>
  </si>
  <si>
    <t>output tokens cost 
per million tokens</t>
  </si>
  <si>
    <t>context window size
per million tokens</t>
  </si>
  <si>
    <t>max output tokens</t>
  </si>
  <si>
    <t>chatgpt Business Codex</t>
  </si>
  <si>
    <t>chatgpt credits plan</t>
  </si>
  <si>
    <t>Gemini google Workspace 
(for business)</t>
  </si>
  <si>
    <t>Gemini Enterprise app
(for company)</t>
  </si>
  <si>
    <t>replit</t>
  </si>
  <si>
    <t>Starter Monthly</t>
  </si>
  <si>
    <t>Replit Core Monthly</t>
  </si>
  <si>
    <t>Replit Pro Monthly</t>
  </si>
  <si>
    <t>Enterprise Monthly</t>
  </si>
  <si>
    <t>Starter Yearly</t>
  </si>
  <si>
    <t>Replit Core Yearly</t>
  </si>
  <si>
    <t>Replit Pro Yearly</t>
  </si>
  <si>
    <t xml:space="preserve">https://openai.com/index/introducing-gpt-5-4-mini-and-nano/
</t>
  </si>
  <si>
    <t>https://github.com/copilot
https://docs.github.com/en/copilot/reference/ai-models/supported-models</t>
  </si>
  <si>
    <t>gpt-5.4mini
purpose or use case</t>
  </si>
  <si>
    <t>gpt-5.4 nano 
purpose or use 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</si>
</sst>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$-409]#,##0.00"/>
    <numFmt numFmtId="165" formatCode="#,##0.0000"/>
    <numFmt numFmtId="166" formatCode="[$$-409]#,##0.000"/>
    <numFmt numFmtId="167" formatCode="#,##0.000"/>
    <numFmt numFmtId="172" formatCode="#,##0.00\ &quot;credits&quot;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0">
    <xf numFmtId="0" fontId="0" fillId="0" borderId="0" xfId="0"/>
    <xf numFmtId="0" fontId="1" fillId="0" borderId="0" xfId="0" applyFont="1" applyAlignment="1">
      <alignment horizontal="left"/>
    </xf>
    <xf numFmtId="0" fontId="2" fillId="0" borderId="0" xfId="0" applyFont="1"/>
    <xf numFmtId="0" fontId="2" fillId="0" borderId="0" xfId="0" applyFont="1" applyAlignment="1">
      <alignment wrapText="1"/>
    </xf>
    <xf numFmtId="0" fontId="2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wrapText="1"/>
    </xf>
    <xf numFmtId="164" fontId="0" fillId="0" borderId="0" xfId="0" applyNumberFormat="1"/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right"/>
    </xf>
    <xf numFmtId="164" fontId="2" fillId="0" borderId="0" xfId="0" applyNumberFormat="1" applyFont="1" applyAlignment="1">
      <alignment wrapText="1"/>
    </xf>
    <xf numFmtId="0" fontId="0" fillId="0" borderId="0" xfId="0" applyAlignment="1">
      <alignment wrapText="1"/>
    </xf>
    <xf numFmtId="4" fontId="0" fillId="0" borderId="0" xfId="0" applyNumberForma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166" fontId="0" fillId="0" borderId="0" xfId="0" applyNumberFormat="1" applyAlignment="1">
      <alignment horizontal="left"/>
    </xf>
    <xf numFmtId="0" fontId="0" fillId="0" borderId="0" xfId="0"/>
    <xf numFmtId="172" fontId="0" fillId="0" borderId="0" xfId="0" applyNumberFormat="1" applyAlignment="1">
      <alignment horizontal="left"/>
    </xf>
    <xf numFmtId="0" fontId="3" fillId="0" borderId="0" xfId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openai.com/index/introducing-gpt-5-4-mini-and-nano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59"/>
  <sheetViews>
    <sheetView tabSelected="1" topLeftCell="A147" zoomScaleNormal="100" workbookViewId="0">
      <selection activeCell="B154" sqref="B154"/>
    </sheetView>
  </sheetViews>
  <sheetFormatPr defaultRowHeight="15" x14ac:dyDescent="0.25"/>
  <cols>
    <col min="1" max="1" width="20.7109375" customWidth="1"/>
    <col min="2" max="2" width="56.7109375" style="7" bestFit="1" customWidth="1"/>
    <col min="3" max="3" width="28.28515625" bestFit="1" customWidth="1"/>
    <col min="4" max="4" width="35.7109375" customWidth="1"/>
    <col min="5" max="5" width="38" bestFit="1" customWidth="1"/>
    <col min="6" max="6" width="32.42578125" bestFit="1" customWidth="1"/>
    <col min="7" max="7" width="31.140625" bestFit="1" customWidth="1"/>
    <col min="8" max="8" width="31.140625" customWidth="1"/>
    <col min="9" max="9" width="11.85546875" customWidth="1"/>
    <col min="10" max="11" width="27.140625" bestFit="1" customWidth="1"/>
    <col min="12" max="13" width="24" style="1" customWidth="1"/>
    <col min="14" max="14" width="28.7109375" customWidth="1"/>
    <col min="15" max="15" width="21.42578125" customWidth="1"/>
    <col min="16" max="16" width="15.5703125" bestFit="1" customWidth="1"/>
    <col min="17" max="17" width="19.28515625" bestFit="1" customWidth="1"/>
    <col min="21" max="22" width="19.28515625" customWidth="1"/>
  </cols>
  <sheetData>
    <row r="1" spans="1:22" s="2" customFormat="1" ht="56.25" x14ac:dyDescent="0.3">
      <c r="A1" s="2" t="s">
        <v>35</v>
      </c>
      <c r="B1" s="10" t="s">
        <v>53</v>
      </c>
      <c r="C1" s="3" t="s">
        <v>110</v>
      </c>
      <c r="D1" s="2" t="s">
        <v>36</v>
      </c>
      <c r="E1" s="2" t="s">
        <v>30</v>
      </c>
      <c r="F1" s="3" t="s">
        <v>29</v>
      </c>
      <c r="G1" s="3" t="s">
        <v>15</v>
      </c>
      <c r="H1" s="2" t="s">
        <v>14</v>
      </c>
      <c r="I1" s="2" t="s">
        <v>19</v>
      </c>
      <c r="J1" s="3" t="s">
        <v>31</v>
      </c>
      <c r="K1" s="3" t="s">
        <v>33</v>
      </c>
      <c r="L1" s="4" t="s">
        <v>8</v>
      </c>
      <c r="M1" s="4" t="s">
        <v>22</v>
      </c>
      <c r="N1" s="2" t="s">
        <v>27</v>
      </c>
      <c r="O1" s="3" t="s">
        <v>17</v>
      </c>
      <c r="P1" s="3" t="s">
        <v>16</v>
      </c>
      <c r="Q1" s="3" t="s">
        <v>18</v>
      </c>
      <c r="U1" s="3"/>
      <c r="V1" s="3"/>
    </row>
    <row r="2" spans="1:22" x14ac:dyDescent="0.25">
      <c r="A2" t="s">
        <v>0</v>
      </c>
      <c r="B2" s="7" t="s">
        <v>54</v>
      </c>
      <c r="E2" t="s">
        <v>64</v>
      </c>
      <c r="F2" s="7">
        <v>0</v>
      </c>
      <c r="I2" s="7">
        <f>PRODUCT(F2,0.18)</f>
        <v>0</v>
      </c>
      <c r="J2" s="7">
        <f>SUM(F2,I2)</f>
        <v>0</v>
      </c>
      <c r="P2" s="7"/>
    </row>
    <row r="3" spans="1:22" x14ac:dyDescent="0.25">
      <c r="E3" t="s">
        <v>65</v>
      </c>
      <c r="F3" s="7">
        <v>20</v>
      </c>
      <c r="I3" s="7">
        <f>PRODUCT(F3,0.18)</f>
        <v>3.5999999999999996</v>
      </c>
      <c r="J3" s="7">
        <f>SUM(F3,I3)</f>
        <v>23.6</v>
      </c>
      <c r="P3" s="7"/>
    </row>
    <row r="4" spans="1:22" x14ac:dyDescent="0.25">
      <c r="E4" t="s">
        <v>66</v>
      </c>
      <c r="F4" s="7">
        <v>60</v>
      </c>
      <c r="I4" s="7">
        <f>PRODUCT(F4,0.18)</f>
        <v>10.799999999999999</v>
      </c>
      <c r="J4" s="7">
        <f>SUM(F4,I4)</f>
        <v>70.8</v>
      </c>
      <c r="P4" s="7"/>
    </row>
    <row r="5" spans="1:22" x14ac:dyDescent="0.25">
      <c r="E5" t="s">
        <v>67</v>
      </c>
      <c r="F5" s="7">
        <v>200</v>
      </c>
      <c r="I5" s="7">
        <f>PRODUCT(F5,0.18)</f>
        <v>36</v>
      </c>
      <c r="J5" s="7">
        <f>SUM(F5,I5)</f>
        <v>236</v>
      </c>
      <c r="P5" s="7"/>
    </row>
    <row r="6" spans="1:22" x14ac:dyDescent="0.25">
      <c r="E6" t="s">
        <v>68</v>
      </c>
      <c r="F6" s="7">
        <v>40</v>
      </c>
      <c r="I6" s="7">
        <f>PRODUCT(F6,0.18)</f>
        <v>7.1999999999999993</v>
      </c>
      <c r="J6" s="7">
        <f>SUM(F6,I6)</f>
        <v>47.2</v>
      </c>
      <c r="L6" s="1">
        <v>1</v>
      </c>
      <c r="O6" s="7"/>
      <c r="P6" s="7"/>
    </row>
    <row r="8" spans="1:22" x14ac:dyDescent="0.25">
      <c r="E8" t="s">
        <v>59</v>
      </c>
      <c r="G8" s="7">
        <v>0</v>
      </c>
      <c r="I8" s="7">
        <f>PRODUCT(G8,0.18)</f>
        <v>0</v>
      </c>
      <c r="J8" s="7"/>
      <c r="K8" s="7">
        <f>PRODUCT(SUM(G8,I8),12)</f>
        <v>0</v>
      </c>
    </row>
    <row r="9" spans="1:22" x14ac:dyDescent="0.25">
      <c r="E9" t="s">
        <v>60</v>
      </c>
      <c r="G9" s="7">
        <v>16</v>
      </c>
      <c r="I9" s="7">
        <f>PRODUCT(G9,0.18)</f>
        <v>2.88</v>
      </c>
      <c r="J9" s="7"/>
      <c r="K9" s="7">
        <f>PRODUCT(SUM(G9,I9),12)</f>
        <v>226.56</v>
      </c>
    </row>
    <row r="10" spans="1:22" x14ac:dyDescent="0.25">
      <c r="E10" t="s">
        <v>61</v>
      </c>
      <c r="G10" s="7">
        <v>48</v>
      </c>
      <c r="I10" s="7">
        <f>PRODUCT(G10,0.18)</f>
        <v>8.64</v>
      </c>
      <c r="J10" s="7"/>
      <c r="K10" s="7">
        <f>PRODUCT(SUM(G10,I10),12)</f>
        <v>679.68000000000006</v>
      </c>
    </row>
    <row r="11" spans="1:22" x14ac:dyDescent="0.25">
      <c r="E11" t="s">
        <v>62</v>
      </c>
      <c r="G11" s="7">
        <v>160</v>
      </c>
      <c r="I11" s="7">
        <f>PRODUCT(G11,0.18)</f>
        <v>28.799999999999997</v>
      </c>
      <c r="J11" s="7"/>
      <c r="K11" s="7">
        <f>PRODUCT(SUM(G11,I11),12)</f>
        <v>2265.6000000000004</v>
      </c>
    </row>
    <row r="12" spans="1:22" x14ac:dyDescent="0.25">
      <c r="E12" t="s">
        <v>63</v>
      </c>
      <c r="G12" s="7">
        <v>32</v>
      </c>
      <c r="I12" s="7">
        <f>PRODUCT(G12,0.18)</f>
        <v>5.76</v>
      </c>
      <c r="J12" s="7"/>
      <c r="K12" s="7">
        <f>PRODUCT(SUM(G12,I12),12)</f>
        <v>453.12</v>
      </c>
      <c r="L12" s="1">
        <v>1</v>
      </c>
    </row>
    <row r="15" spans="1:22" x14ac:dyDescent="0.25">
      <c r="A15" t="s">
        <v>4</v>
      </c>
      <c r="E15" t="s">
        <v>69</v>
      </c>
      <c r="F15" s="7">
        <v>0</v>
      </c>
      <c r="I15" s="7">
        <f>PRODUCT(G15,0)</f>
        <v>0</v>
      </c>
      <c r="J15" s="7">
        <f>SUM(F15,I15)</f>
        <v>0</v>
      </c>
    </row>
    <row r="16" spans="1:22" x14ac:dyDescent="0.25">
      <c r="E16" t="s">
        <v>70</v>
      </c>
      <c r="F16" s="7">
        <v>10</v>
      </c>
      <c r="I16" s="7">
        <f>PRODUCT(G16,0)</f>
        <v>0</v>
      </c>
      <c r="J16" s="7">
        <f>SUM(F16,I16)</f>
        <v>10</v>
      </c>
      <c r="L16" s="1">
        <v>1</v>
      </c>
    </row>
    <row r="17" spans="1:13" x14ac:dyDescent="0.25">
      <c r="E17" t="s">
        <v>71</v>
      </c>
      <c r="F17" s="7">
        <v>39</v>
      </c>
      <c r="I17" s="7">
        <f>PRODUCT(G17,0)</f>
        <v>0</v>
      </c>
      <c r="J17" s="7">
        <f>SUM(F17,I17)</f>
        <v>39</v>
      </c>
      <c r="L17" s="1">
        <v>1</v>
      </c>
    </row>
    <row r="18" spans="1:13" x14ac:dyDescent="0.25">
      <c r="E18" t="s">
        <v>72</v>
      </c>
      <c r="F18" s="7">
        <v>19</v>
      </c>
      <c r="I18" s="7">
        <f>PRODUCT(G18,0)</f>
        <v>0</v>
      </c>
      <c r="J18" s="7">
        <f>SUM(F18,I18)</f>
        <v>19</v>
      </c>
      <c r="L18" s="1">
        <v>1</v>
      </c>
    </row>
    <row r="19" spans="1:13" x14ac:dyDescent="0.25">
      <c r="E19" t="s">
        <v>73</v>
      </c>
      <c r="F19" s="7">
        <v>39</v>
      </c>
      <c r="I19" s="7">
        <f>PRODUCT(G19,0)</f>
        <v>0</v>
      </c>
      <c r="J19" s="7">
        <f>SUM(F19,I19)</f>
        <v>39</v>
      </c>
      <c r="L19" s="1">
        <v>1</v>
      </c>
    </row>
    <row r="23" spans="1:13" x14ac:dyDescent="0.25">
      <c r="A23" t="s">
        <v>5</v>
      </c>
      <c r="E23" s="5" t="s">
        <v>74</v>
      </c>
      <c r="F23" t="s">
        <v>3</v>
      </c>
      <c r="I23">
        <f>PRODUCT(VALUE(RIGHT(F23,LEN(F23)-1)))*0.18</f>
        <v>0</v>
      </c>
      <c r="J23" s="7">
        <f>VALUE(RIGHT(F23,LEN(F23)-1))+I23</f>
        <v>0</v>
      </c>
      <c r="K23" s="7"/>
      <c r="L23" s="1">
        <v>1</v>
      </c>
    </row>
    <row r="24" spans="1:13" x14ac:dyDescent="0.25">
      <c r="E24" s="5" t="s">
        <v>75</v>
      </c>
      <c r="G24" t="s">
        <v>6</v>
      </c>
      <c r="H24" t="s">
        <v>2</v>
      </c>
      <c r="I24">
        <f>PRODUCT(VALUE(RIGHT(H24,LEN(H24)-1)),0.18)</f>
        <v>36</v>
      </c>
      <c r="J24" s="7"/>
      <c r="K24" s="7">
        <f>VALUE(RIGHT(H24,LEN(H24)-1))+I24</f>
        <v>236</v>
      </c>
      <c r="L24" s="1">
        <v>1</v>
      </c>
    </row>
    <row r="25" spans="1:13" x14ac:dyDescent="0.25">
      <c r="E25" s="5" t="s">
        <v>76</v>
      </c>
      <c r="F25" t="s">
        <v>1</v>
      </c>
      <c r="I25">
        <f>PRODUCT(VALUE(RIGHT(F25,LEN(F25)-1)),0.18)</f>
        <v>3.5999999999999996</v>
      </c>
      <c r="J25" s="7">
        <f>VALUE(RIGHT(F25,LEN(F25)-1))+I25</f>
        <v>23.6</v>
      </c>
      <c r="K25" s="7"/>
      <c r="L25" s="1">
        <v>1</v>
      </c>
    </row>
    <row r="26" spans="1:13" x14ac:dyDescent="0.25">
      <c r="E26" s="5" t="s">
        <v>77</v>
      </c>
      <c r="F26" t="s">
        <v>13</v>
      </c>
      <c r="I26">
        <f>PRODUCT(VALUE(RIGHT(F26,LEN(F26)-1)),0.18)</f>
        <v>18</v>
      </c>
      <c r="J26" s="7">
        <f>VALUE(RIGHT(F26,LEN(F26)-1))+I26</f>
        <v>118</v>
      </c>
      <c r="K26" s="7"/>
      <c r="L26" s="1">
        <v>1</v>
      </c>
    </row>
    <row r="27" spans="1:13" x14ac:dyDescent="0.25">
      <c r="E27" s="5" t="s">
        <v>78</v>
      </c>
      <c r="F27" t="s">
        <v>2</v>
      </c>
      <c r="I27">
        <f>PRODUCT(VALUE(RIGHT(F27,LEN(F27)-1)),0.18)</f>
        <v>36</v>
      </c>
      <c r="J27" s="7">
        <f>VALUE(RIGHT(F27,LEN(F27)-1))+I27</f>
        <v>236</v>
      </c>
      <c r="K27" s="7"/>
      <c r="L27" s="1">
        <v>1</v>
      </c>
    </row>
    <row r="28" spans="1:13" x14ac:dyDescent="0.25">
      <c r="E28" s="5" t="s">
        <v>79</v>
      </c>
      <c r="G28" t="s">
        <v>1</v>
      </c>
      <c r="I28">
        <f>PRODUCT(VALUE(RIGHT(G28,LEN(G28)-1)),0.18)</f>
        <v>3.5999999999999996</v>
      </c>
      <c r="K28" s="7">
        <f>PRODUCT(VALUE(RIGHT(G28,LEN(G28)-1))+I28,12)</f>
        <v>283.20000000000005</v>
      </c>
      <c r="L28" s="1" t="s">
        <v>32</v>
      </c>
      <c r="M28" s="1">
        <v>1</v>
      </c>
    </row>
    <row r="29" spans="1:13" x14ac:dyDescent="0.25">
      <c r="E29" s="5" t="s">
        <v>80</v>
      </c>
      <c r="F29" t="s">
        <v>20</v>
      </c>
      <c r="I29">
        <f>VALUE(RIGHT(F29,LEN(F29)-1))*0.18</f>
        <v>4.5</v>
      </c>
      <c r="J29" s="7">
        <f>VALUE(RIGHT(F29,LEN(F29)-1))+I29</f>
        <v>29.5</v>
      </c>
      <c r="K29" s="7"/>
      <c r="L29" s="1" t="s">
        <v>32</v>
      </c>
      <c r="M29" s="1">
        <v>1</v>
      </c>
    </row>
    <row r="30" spans="1:13" x14ac:dyDescent="0.25">
      <c r="E30" s="5" t="s">
        <v>81</v>
      </c>
      <c r="G30" t="s">
        <v>13</v>
      </c>
      <c r="I30">
        <f>PRODUCT(VALUE(RIGHT(G30,LEN(G30)-1)))*0.18</f>
        <v>18</v>
      </c>
      <c r="J30" s="7"/>
      <c r="K30" s="7">
        <f>PRODUCT(VALUE(RIGHT(G30,LEN(G30)-1))+I30,12)</f>
        <v>1416</v>
      </c>
      <c r="L30" s="1">
        <v>20</v>
      </c>
      <c r="M30" s="1">
        <v>1</v>
      </c>
    </row>
    <row r="31" spans="1:13" x14ac:dyDescent="0.25">
      <c r="E31" s="5" t="s">
        <v>82</v>
      </c>
      <c r="F31" t="s">
        <v>21</v>
      </c>
      <c r="I31">
        <f>PRODUCT(VALUE(RIGHT(F31,LEN(F31)-1)))*0.18</f>
        <v>22.5</v>
      </c>
      <c r="J31" s="7">
        <f>VALUE(RIGHT(F31,LEN(F31)-1))+I31</f>
        <v>147.5</v>
      </c>
      <c r="K31" s="7"/>
      <c r="L31" s="1">
        <v>20</v>
      </c>
      <c r="M31" s="1">
        <v>1</v>
      </c>
    </row>
    <row r="32" spans="1:13" x14ac:dyDescent="0.25">
      <c r="K32" s="7"/>
    </row>
    <row r="33" spans="1:13" x14ac:dyDescent="0.25">
      <c r="A33" t="s">
        <v>24</v>
      </c>
      <c r="E33" s="6"/>
      <c r="M33" s="1">
        <v>1</v>
      </c>
    </row>
    <row r="34" spans="1:13" x14ac:dyDescent="0.25">
      <c r="A34" t="s">
        <v>112</v>
      </c>
      <c r="E34" s="6"/>
    </row>
    <row r="35" spans="1:13" ht="45" x14ac:dyDescent="0.25">
      <c r="A35" s="11" t="s">
        <v>113</v>
      </c>
      <c r="B35" s="7">
        <v>5</v>
      </c>
      <c r="E35" s="6"/>
    </row>
    <row r="36" spans="1:13" ht="30" x14ac:dyDescent="0.25">
      <c r="A36" s="11" t="s">
        <v>114</v>
      </c>
      <c r="B36" s="7">
        <v>25</v>
      </c>
      <c r="E36" s="6"/>
    </row>
    <row r="37" spans="1:13" ht="30" x14ac:dyDescent="0.25">
      <c r="A37" s="11" t="s">
        <v>115</v>
      </c>
      <c r="B37" s="7">
        <v>6.25</v>
      </c>
      <c r="E37" s="6"/>
    </row>
    <row r="38" spans="1:13" ht="30" x14ac:dyDescent="0.25">
      <c r="A38" s="11" t="s">
        <v>116</v>
      </c>
      <c r="B38" s="7">
        <v>10</v>
      </c>
      <c r="E38" s="6"/>
    </row>
    <row r="39" spans="1:13" ht="30" x14ac:dyDescent="0.25">
      <c r="A39" s="11" t="s">
        <v>117</v>
      </c>
      <c r="B39" s="7">
        <v>0.5</v>
      </c>
      <c r="E39" s="6"/>
    </row>
    <row r="40" spans="1:13" ht="30" x14ac:dyDescent="0.25">
      <c r="A40" s="11" t="s">
        <v>118</v>
      </c>
      <c r="B40" s="7">
        <v>0.08</v>
      </c>
      <c r="E40" s="6"/>
    </row>
    <row r="41" spans="1:13" ht="30" x14ac:dyDescent="0.25">
      <c r="A41" s="11" t="s">
        <v>126</v>
      </c>
      <c r="B41" s="7">
        <f>0.1*B35</f>
        <v>0.5</v>
      </c>
      <c r="E41" s="6"/>
    </row>
    <row r="42" spans="1:13" x14ac:dyDescent="0.25">
      <c r="A42" s="11"/>
      <c r="E42" s="6"/>
    </row>
    <row r="43" spans="1:13" x14ac:dyDescent="0.25">
      <c r="E43" s="6"/>
    </row>
    <row r="44" spans="1:13" x14ac:dyDescent="0.25">
      <c r="A44" s="11" t="s">
        <v>119</v>
      </c>
      <c r="B44" s="13">
        <v>50000</v>
      </c>
      <c r="E44" s="6"/>
    </row>
    <row r="45" spans="1:13" ht="30" x14ac:dyDescent="0.25">
      <c r="A45" s="11" t="s">
        <v>120</v>
      </c>
      <c r="B45" s="13">
        <v>15000</v>
      </c>
      <c r="E45" s="6"/>
    </row>
    <row r="46" spans="1:13" ht="30" x14ac:dyDescent="0.25">
      <c r="A46" s="11" t="s">
        <v>121</v>
      </c>
      <c r="B46" s="13">
        <v>1</v>
      </c>
      <c r="E46" s="6"/>
    </row>
    <row r="47" spans="1:13" x14ac:dyDescent="0.25">
      <c r="A47" s="11" t="s">
        <v>122</v>
      </c>
      <c r="B47" s="13">
        <f>SUM(((B35/1000000)*B44),(B36/1000000)*B45,B40*B46)</f>
        <v>0.70499999999999996</v>
      </c>
      <c r="E47" s="6"/>
    </row>
    <row r="48" spans="1:13" x14ac:dyDescent="0.25">
      <c r="B48" s="13"/>
      <c r="E48" s="6"/>
    </row>
    <row r="49" spans="1:5" x14ac:dyDescent="0.25">
      <c r="B49" s="13"/>
      <c r="E49" s="6"/>
    </row>
    <row r="50" spans="1:5" x14ac:dyDescent="0.25">
      <c r="A50" s="11" t="s">
        <v>119</v>
      </c>
      <c r="B50" s="12">
        <v>10000</v>
      </c>
      <c r="E50" s="6"/>
    </row>
    <row r="51" spans="1:5" ht="30" x14ac:dyDescent="0.25">
      <c r="A51" s="11" t="s">
        <v>123</v>
      </c>
      <c r="B51" s="12">
        <v>40000</v>
      </c>
      <c r="E51" s="6"/>
    </row>
    <row r="52" spans="1:5" ht="30" x14ac:dyDescent="0.25">
      <c r="A52" s="11" t="s">
        <v>120</v>
      </c>
      <c r="B52" s="12">
        <v>15000</v>
      </c>
      <c r="E52" s="6"/>
    </row>
    <row r="53" spans="1:5" ht="30" x14ac:dyDescent="0.25">
      <c r="A53" s="11" t="s">
        <v>124</v>
      </c>
      <c r="B53" s="12">
        <v>1</v>
      </c>
      <c r="E53" s="6"/>
    </row>
    <row r="54" spans="1:5" x14ac:dyDescent="0.25">
      <c r="A54" s="11" t="s">
        <v>125</v>
      </c>
      <c r="B54" s="7">
        <f>SUM((B35/1000000)*B50,(B35/1000000)*0.1*B51,(B36/1000000)*B52, B40*B53)</f>
        <v>0.52500000000000002</v>
      </c>
      <c r="E54" s="6"/>
    </row>
    <row r="55" spans="1:5" x14ac:dyDescent="0.25">
      <c r="E55" s="6"/>
    </row>
    <row r="56" spans="1:5" x14ac:dyDescent="0.25">
      <c r="E56" s="6"/>
    </row>
    <row r="57" spans="1:5" x14ac:dyDescent="0.25">
      <c r="A57" t="s">
        <v>37</v>
      </c>
      <c r="E57" s="6"/>
    </row>
    <row r="58" spans="1:5" x14ac:dyDescent="0.25">
      <c r="E58" s="6"/>
    </row>
    <row r="59" spans="1:5" x14ac:dyDescent="0.25">
      <c r="E59" s="6"/>
    </row>
    <row r="62" spans="1:5" x14ac:dyDescent="0.25">
      <c r="A62" t="s">
        <v>38</v>
      </c>
    </row>
    <row r="68" spans="1:13" x14ac:dyDescent="0.25">
      <c r="A68" t="s">
        <v>7</v>
      </c>
      <c r="E68" t="s">
        <v>83</v>
      </c>
      <c r="F68" t="s">
        <v>3</v>
      </c>
    </row>
    <row r="69" spans="1:13" x14ac:dyDescent="0.25">
      <c r="E69" t="s">
        <v>84</v>
      </c>
      <c r="F69" s="8">
        <f>399/95.79</f>
        <v>4.1653617287817095</v>
      </c>
      <c r="I69">
        <v>0</v>
      </c>
      <c r="J69" s="9">
        <f>PRODUCT(F69+I69, M69)</f>
        <v>4.1653617287817095</v>
      </c>
    </row>
    <row r="70" spans="1:13" x14ac:dyDescent="0.25">
      <c r="E70" t="s">
        <v>85</v>
      </c>
      <c r="F70" s="8">
        <f>1999/95.79</f>
        <v>20.868566656227163</v>
      </c>
      <c r="I70">
        <v>0</v>
      </c>
      <c r="J70" s="9">
        <f>PRODUCT(F70+I70, M70)</f>
        <v>20.868566656227163</v>
      </c>
    </row>
    <row r="71" spans="1:13" x14ac:dyDescent="0.25">
      <c r="E71" t="s">
        <v>86</v>
      </c>
      <c r="F71" s="8">
        <f>10699/95.79</f>
        <v>111.69224344921182</v>
      </c>
      <c r="I71">
        <v>0</v>
      </c>
      <c r="J71" s="9">
        <f>PRODUCT(F71+I71, M71)</f>
        <v>111.69224344921182</v>
      </c>
    </row>
    <row r="72" spans="1:13" x14ac:dyDescent="0.25">
      <c r="E72" t="s">
        <v>87</v>
      </c>
      <c r="F72" s="8">
        <f>2250/95.79</f>
        <v>23.488881929220167</v>
      </c>
      <c r="I72">
        <v>0</v>
      </c>
      <c r="J72" s="9">
        <f>PRODUCT(F72+I72, M72)</f>
        <v>46.977763858440333</v>
      </c>
      <c r="M72" s="1">
        <v>2</v>
      </c>
    </row>
    <row r="73" spans="1:13" x14ac:dyDescent="0.25">
      <c r="E73" t="s">
        <v>88</v>
      </c>
      <c r="G73" s="8">
        <f>1800/95.79</f>
        <v>18.791105543376133</v>
      </c>
      <c r="I73">
        <v>0</v>
      </c>
      <c r="K73" s="7">
        <f>PRODUCT(G73+I73, M73,12)</f>
        <v>450.9865330410272</v>
      </c>
      <c r="M73" s="1">
        <v>2</v>
      </c>
    </row>
    <row r="74" spans="1:13" x14ac:dyDescent="0.25">
      <c r="G74" s="8"/>
      <c r="K74" s="7"/>
    </row>
    <row r="75" spans="1:13" x14ac:dyDescent="0.25">
      <c r="A75" t="s">
        <v>133</v>
      </c>
      <c r="E75" t="s">
        <v>132</v>
      </c>
    </row>
    <row r="76" spans="1:13" s="17" customFormat="1" x14ac:dyDescent="0.25">
      <c r="B76" s="7"/>
      <c r="L76" s="1"/>
      <c r="M76" s="1"/>
    </row>
    <row r="77" spans="1:13" x14ac:dyDescent="0.25">
      <c r="E77" s="18">
        <v>500</v>
      </c>
      <c r="F77" s="16">
        <f>1700/95.79</f>
        <v>17.747155235410794</v>
      </c>
    </row>
    <row r="78" spans="1:13" x14ac:dyDescent="0.25">
      <c r="E78" s="18">
        <v>1000</v>
      </c>
      <c r="F78" s="16">
        <f>3400/95.79</f>
        <v>35.494310470821588</v>
      </c>
    </row>
    <row r="79" spans="1:13" x14ac:dyDescent="0.25">
      <c r="E79" s="18">
        <v>1500</v>
      </c>
      <c r="F79" s="16">
        <f>5100/95.79</f>
        <v>53.241465706232383</v>
      </c>
    </row>
    <row r="80" spans="1:13" x14ac:dyDescent="0.25">
      <c r="E80" s="18">
        <v>2500</v>
      </c>
      <c r="F80" s="16">
        <f>8500/95.79</f>
        <v>88.735776177053964</v>
      </c>
    </row>
    <row r="81" spans="1:13" x14ac:dyDescent="0.25">
      <c r="E81" s="18">
        <v>5000</v>
      </c>
      <c r="F81" s="16">
        <f>17000/95.79</f>
        <v>177.47155235410793</v>
      </c>
    </row>
    <row r="82" spans="1:13" x14ac:dyDescent="0.25">
      <c r="E82" s="18">
        <v>10000</v>
      </c>
      <c r="F82" s="16">
        <f>34000/95.79</f>
        <v>354.94310470821586</v>
      </c>
    </row>
    <row r="83" spans="1:13" s="17" customFormat="1" x14ac:dyDescent="0.25">
      <c r="B83" s="7"/>
      <c r="E83" s="18">
        <v>250</v>
      </c>
      <c r="F83" s="16">
        <f>F77/2</f>
        <v>8.8735776177053971</v>
      </c>
      <c r="L83" s="1"/>
      <c r="M83" s="1"/>
    </row>
    <row r="84" spans="1:13" x14ac:dyDescent="0.25">
      <c r="A84" t="s">
        <v>23</v>
      </c>
      <c r="E84" s="18">
        <v>750</v>
      </c>
      <c r="F84" s="7"/>
    </row>
    <row r="85" spans="1:13" x14ac:dyDescent="0.25">
      <c r="E85" s="18"/>
    </row>
    <row r="86" spans="1:13" x14ac:dyDescent="0.25">
      <c r="E86" s="18"/>
    </row>
    <row r="87" spans="1:13" x14ac:dyDescent="0.25">
      <c r="E87" s="16"/>
    </row>
    <row r="89" spans="1:13" x14ac:dyDescent="0.25">
      <c r="A89" t="s">
        <v>109</v>
      </c>
      <c r="C89" t="s">
        <v>111</v>
      </c>
    </row>
    <row r="90" spans="1:13" ht="30" x14ac:dyDescent="0.25">
      <c r="A90" s="11" t="s">
        <v>127</v>
      </c>
      <c r="B90" s="14">
        <v>5</v>
      </c>
    </row>
    <row r="91" spans="1:13" ht="30" x14ac:dyDescent="0.25">
      <c r="A91" s="11" t="s">
        <v>128</v>
      </c>
      <c r="B91" s="14">
        <v>0.5</v>
      </c>
    </row>
    <row r="92" spans="1:13" ht="30" x14ac:dyDescent="0.25">
      <c r="A92" s="11" t="s">
        <v>129</v>
      </c>
      <c r="B92" s="14">
        <v>30</v>
      </c>
    </row>
    <row r="93" spans="1:13" ht="30" x14ac:dyDescent="0.25">
      <c r="A93" s="11" t="s">
        <v>130</v>
      </c>
      <c r="B93" s="15">
        <v>105000</v>
      </c>
    </row>
    <row r="94" spans="1:13" x14ac:dyDescent="0.25">
      <c r="A94" s="11" t="s">
        <v>131</v>
      </c>
      <c r="B94" s="15">
        <v>128000</v>
      </c>
    </row>
    <row r="95" spans="1:13" x14ac:dyDescent="0.25">
      <c r="B95" s="14"/>
    </row>
    <row r="96" spans="1:13" x14ac:dyDescent="0.25">
      <c r="B96" s="14"/>
    </row>
    <row r="97" spans="1:13" x14ac:dyDescent="0.25">
      <c r="B97" s="14"/>
    </row>
    <row r="98" spans="1:13" x14ac:dyDescent="0.25">
      <c r="B98" s="14"/>
    </row>
    <row r="100" spans="1:13" x14ac:dyDescent="0.25">
      <c r="A100" t="s">
        <v>9</v>
      </c>
      <c r="E100" t="s">
        <v>89</v>
      </c>
      <c r="F100" s="7">
        <v>0</v>
      </c>
      <c r="G100" s="7"/>
      <c r="I100">
        <v>0</v>
      </c>
      <c r="J100" s="7">
        <f>SUM(F100,I100)</f>
        <v>0</v>
      </c>
    </row>
    <row r="101" spans="1:13" x14ac:dyDescent="0.25">
      <c r="E101" t="s">
        <v>90</v>
      </c>
      <c r="F101" s="7">
        <f>399/95.79</f>
        <v>4.1653617287817095</v>
      </c>
      <c r="G101" s="7"/>
      <c r="I101">
        <v>0</v>
      </c>
      <c r="J101" s="7">
        <f>SUM(F101,I101)</f>
        <v>4.1653617287817095</v>
      </c>
    </row>
    <row r="102" spans="1:13" x14ac:dyDescent="0.25">
      <c r="E102" t="s">
        <v>91</v>
      </c>
      <c r="F102" s="7"/>
      <c r="G102" s="7">
        <f>4000/95.79</f>
        <v>41.75801231861363</v>
      </c>
      <c r="I102">
        <v>0</v>
      </c>
      <c r="K102" s="7">
        <f>SUM(G102,I102)</f>
        <v>41.75801231861363</v>
      </c>
    </row>
    <row r="103" spans="1:13" x14ac:dyDescent="0.25">
      <c r="E103" t="s">
        <v>92</v>
      </c>
      <c r="F103" s="7">
        <f>1950/95.79</f>
        <v>20.357031005324146</v>
      </c>
      <c r="I103">
        <v>0</v>
      </c>
      <c r="J103" s="7">
        <f>SUM(F103,I103)</f>
        <v>20.357031005324146</v>
      </c>
    </row>
    <row r="104" spans="1:13" x14ac:dyDescent="0.25">
      <c r="E104" t="s">
        <v>93</v>
      </c>
      <c r="F104" s="7"/>
      <c r="G104" s="7">
        <f>19500/95.79</f>
        <v>203.57031005324146</v>
      </c>
      <c r="I104">
        <v>0</v>
      </c>
      <c r="K104" s="7">
        <f>SUM(G104,I104)</f>
        <v>203.57031005324146</v>
      </c>
    </row>
    <row r="105" spans="1:13" x14ac:dyDescent="0.25">
      <c r="E105" t="s">
        <v>94</v>
      </c>
      <c r="F105" s="7">
        <f>6500/95.79</f>
        <v>67.856770017747152</v>
      </c>
      <c r="G105" s="7"/>
      <c r="I105">
        <v>0</v>
      </c>
      <c r="J105" s="7">
        <f>SUM(F105,I105)</f>
        <v>67.856770017747152</v>
      </c>
    </row>
    <row r="106" spans="1:13" x14ac:dyDescent="0.25">
      <c r="E106" t="s">
        <v>95</v>
      </c>
      <c r="G106" s="7">
        <f>6500/95.79</f>
        <v>67.856770017747152</v>
      </c>
      <c r="I106">
        <v>0</v>
      </c>
      <c r="K106" s="7">
        <f>SUM(G106,I106)</f>
        <v>67.856770017747152</v>
      </c>
    </row>
    <row r="107" spans="1:13" s="17" customFormat="1" ht="30" x14ac:dyDescent="0.25">
      <c r="B107" s="7"/>
      <c r="E107" s="11" t="s">
        <v>134</v>
      </c>
      <c r="F107" s="7">
        <v>14</v>
      </c>
      <c r="G107" s="7"/>
      <c r="K107" s="7"/>
      <c r="L107" s="1">
        <v>1</v>
      </c>
      <c r="M107" s="1"/>
    </row>
    <row r="108" spans="1:13" s="17" customFormat="1" ht="30" x14ac:dyDescent="0.25">
      <c r="B108" s="7"/>
      <c r="E108" s="11" t="s">
        <v>135</v>
      </c>
      <c r="F108" s="7">
        <v>21</v>
      </c>
      <c r="G108" s="7"/>
      <c r="K108" s="7"/>
      <c r="L108" s="1"/>
      <c r="M108" s="1"/>
    </row>
    <row r="109" spans="1:13" s="17" customFormat="1" x14ac:dyDescent="0.25">
      <c r="B109" s="7"/>
      <c r="G109" s="7"/>
      <c r="K109" s="7"/>
      <c r="L109" s="1"/>
      <c r="M109" s="1"/>
    </row>
    <row r="110" spans="1:13" s="17" customFormat="1" x14ac:dyDescent="0.25">
      <c r="B110" s="7"/>
      <c r="G110" s="7"/>
      <c r="K110" s="7"/>
      <c r="L110" s="1"/>
      <c r="M110" s="1"/>
    </row>
    <row r="112" spans="1:13" x14ac:dyDescent="0.25">
      <c r="A112" t="s">
        <v>26</v>
      </c>
    </row>
    <row r="119" spans="1:13" x14ac:dyDescent="0.25">
      <c r="A119" t="s">
        <v>10</v>
      </c>
      <c r="E119" t="s">
        <v>96</v>
      </c>
      <c r="F119" s="7">
        <v>0</v>
      </c>
      <c r="I119" s="7">
        <f>F119*0.18</f>
        <v>0</v>
      </c>
      <c r="J119" s="7">
        <f>SUM(F119,I119)</f>
        <v>0</v>
      </c>
    </row>
    <row r="120" spans="1:13" x14ac:dyDescent="0.25">
      <c r="E120" t="s">
        <v>97</v>
      </c>
      <c r="F120" s="7">
        <v>20</v>
      </c>
      <c r="I120" s="7">
        <f>F120*0.18</f>
        <v>3.5999999999999996</v>
      </c>
      <c r="J120" s="7">
        <f>SUM(F120,I120)</f>
        <v>23.6</v>
      </c>
    </row>
    <row r="121" spans="1:13" x14ac:dyDescent="0.25">
      <c r="E121" t="s">
        <v>98</v>
      </c>
      <c r="F121" s="7">
        <v>200</v>
      </c>
      <c r="I121" s="7">
        <f>F121*0.18</f>
        <v>36</v>
      </c>
      <c r="J121" s="7">
        <f>SUM(F121,I121)</f>
        <v>236</v>
      </c>
    </row>
    <row r="122" spans="1:13" x14ac:dyDescent="0.25">
      <c r="E122" t="s">
        <v>99</v>
      </c>
      <c r="F122" s="7">
        <v>40</v>
      </c>
      <c r="I122" s="7">
        <f>F122*0.18</f>
        <v>7.1999999999999993</v>
      </c>
      <c r="J122" s="7">
        <f>PRODUCT(SUM(F122,I122),M122)</f>
        <v>94.4</v>
      </c>
      <c r="L122" s="1">
        <v>1</v>
      </c>
      <c r="M122" s="1">
        <v>2</v>
      </c>
    </row>
    <row r="124" spans="1:13" x14ac:dyDescent="0.25">
      <c r="A124" t="s">
        <v>12</v>
      </c>
      <c r="E124" t="s">
        <v>100</v>
      </c>
      <c r="F124" s="7">
        <v>0</v>
      </c>
      <c r="I124">
        <v>0</v>
      </c>
      <c r="J124" s="7">
        <f>PRODUCT(SUM(F124,I124),L124)</f>
        <v>0</v>
      </c>
      <c r="L124" s="1">
        <v>2</v>
      </c>
    </row>
    <row r="125" spans="1:13" x14ac:dyDescent="0.25">
      <c r="E125" t="s">
        <v>101</v>
      </c>
      <c r="F125" s="7">
        <v>30</v>
      </c>
      <c r="I125">
        <v>0</v>
      </c>
      <c r="J125" s="7">
        <f>PRODUCT(SUM(F125,I125),L125)</f>
        <v>30</v>
      </c>
      <c r="L125" s="1">
        <v>1</v>
      </c>
    </row>
    <row r="126" spans="1:13" x14ac:dyDescent="0.25">
      <c r="E126" t="s">
        <v>102</v>
      </c>
      <c r="F126" s="7">
        <v>100</v>
      </c>
      <c r="I126">
        <v>0</v>
      </c>
      <c r="J126" s="7">
        <f>PRODUCT(SUM(F126,I126),L126)</f>
        <v>200</v>
      </c>
      <c r="L126" s="1">
        <v>2</v>
      </c>
    </row>
    <row r="128" spans="1:13" x14ac:dyDescent="0.25">
      <c r="A128" t="s">
        <v>11</v>
      </c>
      <c r="E128" t="s">
        <v>103</v>
      </c>
      <c r="F128" s="7">
        <f>700/95.79</f>
        <v>7.3076521557573857</v>
      </c>
      <c r="G128" s="7"/>
      <c r="I128">
        <v>0</v>
      </c>
      <c r="J128" s="7">
        <f>SUM(F128,I128)</f>
        <v>7.3076521557573857</v>
      </c>
    </row>
    <row r="129" spans="1:13" x14ac:dyDescent="0.25">
      <c r="E129" t="s">
        <v>104</v>
      </c>
      <c r="F129" s="7">
        <v>30</v>
      </c>
      <c r="G129" s="7"/>
      <c r="I129">
        <v>0</v>
      </c>
      <c r="J129" s="7">
        <f>SUM(F129,I129)</f>
        <v>30</v>
      </c>
      <c r="M129" s="1">
        <v>1</v>
      </c>
    </row>
    <row r="130" spans="1:13" x14ac:dyDescent="0.25">
      <c r="E130" t="s">
        <v>105</v>
      </c>
      <c r="F130" s="7">
        <v>300</v>
      </c>
      <c r="G130" s="7"/>
      <c r="I130">
        <v>0</v>
      </c>
      <c r="J130" s="7">
        <f>SUM(F130,I130)</f>
        <v>300</v>
      </c>
      <c r="M130" s="1">
        <v>1</v>
      </c>
    </row>
    <row r="131" spans="1:13" x14ac:dyDescent="0.25">
      <c r="E131" t="s">
        <v>106</v>
      </c>
      <c r="G131" s="7">
        <v>300</v>
      </c>
      <c r="I131">
        <v>0</v>
      </c>
      <c r="K131" s="7">
        <f>PRODUCT(SUM(G131,I131),12)</f>
        <v>3600</v>
      </c>
      <c r="M131" s="1">
        <v>1</v>
      </c>
    </row>
    <row r="132" spans="1:13" x14ac:dyDescent="0.25">
      <c r="E132" t="s">
        <v>107</v>
      </c>
      <c r="G132" s="7">
        <v>3000</v>
      </c>
      <c r="I132">
        <v>0</v>
      </c>
      <c r="K132" s="7">
        <f>PRODUCT(SUM(G132,I132),12)</f>
        <v>36000</v>
      </c>
      <c r="M132" s="1">
        <v>1</v>
      </c>
    </row>
    <row r="138" spans="1:13" x14ac:dyDescent="0.25">
      <c r="A138" t="s">
        <v>25</v>
      </c>
    </row>
    <row r="139" spans="1:13" x14ac:dyDescent="0.25">
      <c r="A139" t="s">
        <v>41</v>
      </c>
      <c r="D139" t="s">
        <v>42</v>
      </c>
    </row>
    <row r="140" spans="1:13" x14ac:dyDescent="0.25">
      <c r="D140" t="s">
        <v>43</v>
      </c>
    </row>
    <row r="143" spans="1:13" x14ac:dyDescent="0.25">
      <c r="A143" t="s">
        <v>136</v>
      </c>
      <c r="E143" t="s">
        <v>137</v>
      </c>
      <c r="F143">
        <v>0</v>
      </c>
    </row>
    <row r="144" spans="1:13" x14ac:dyDescent="0.25">
      <c r="E144" t="s">
        <v>138</v>
      </c>
      <c r="F144">
        <v>20</v>
      </c>
    </row>
    <row r="145" spans="1:7" x14ac:dyDescent="0.25">
      <c r="E145" t="s">
        <v>139</v>
      </c>
      <c r="F145">
        <v>100</v>
      </c>
    </row>
    <row r="146" spans="1:7" x14ac:dyDescent="0.25">
      <c r="E146" t="s">
        <v>140</v>
      </c>
    </row>
    <row r="147" spans="1:7" x14ac:dyDescent="0.25">
      <c r="E147" t="s">
        <v>141</v>
      </c>
      <c r="G147">
        <v>0</v>
      </c>
    </row>
    <row r="148" spans="1:7" x14ac:dyDescent="0.25">
      <c r="E148" t="s">
        <v>142</v>
      </c>
      <c r="G148">
        <v>18</v>
      </c>
    </row>
    <row r="149" spans="1:7" x14ac:dyDescent="0.25">
      <c r="E149" t="s">
        <v>143</v>
      </c>
      <c r="G149">
        <v>215</v>
      </c>
    </row>
    <row r="153" spans="1:7" ht="30" x14ac:dyDescent="0.25">
      <c r="A153" s="11" t="s">
        <v>146</v>
      </c>
    </row>
    <row r="154" spans="1:7" ht="60" x14ac:dyDescent="0.25">
      <c r="A154" s="11" t="s">
        <v>147</v>
      </c>
      <c r="C154" s="19" t="s">
        <v>144</v>
      </c>
    </row>
    <row r="159" spans="1:7" ht="75" x14ac:dyDescent="0.25">
      <c r="A159" t="s">
        <v>4</v>
      </c>
      <c r="C159" s="11" t="s">
        <v>145</v>
      </c>
    </row>
  </sheetData>
  <dataValidations count="3">
    <dataValidation operator="greaterThanOrEqual" showErrorMessage="1" promptTitle="Input value" prompt="For chatgpt business plan with monthly billing seats must be greater than 2" sqref="L72" xr:uid="{AB019136-2B35-41BF-AAE3-7F915B8E1897}"/>
    <dataValidation type="decimal" operator="greaterThanOrEqual" allowBlank="1" showInputMessage="1" showErrorMessage="1" sqref="M73:N74 M122:N122" xr:uid="{8F453106-93E4-43B4-9F00-8386506E300D}">
      <formula1>2</formula1>
    </dataValidation>
    <dataValidation type="decimal" operator="greaterThanOrEqual" allowBlank="1" showInputMessage="1" showErrorMessage="1" promptTitle="input data valid" prompt="for Chatgpt business plan, seat number must be &gt;=2" sqref="M72:N72" xr:uid="{C3EC9F79-5D8D-4E87-BF0C-5E945135986B}">
      <formula1>2</formula1>
    </dataValidation>
  </dataValidations>
  <hyperlinks>
    <hyperlink ref="C154" r:id="rId1" xr:uid="{4A3B5888-76A5-4C31-B7DB-DF01EAE42F77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30711-24E6-4E58-A405-E79ED381D6C3}">
  <dimension ref="A1:H9"/>
  <sheetViews>
    <sheetView workbookViewId="0">
      <selection activeCell="A2" sqref="A2"/>
    </sheetView>
  </sheetViews>
  <sheetFormatPr defaultRowHeight="15" x14ac:dyDescent="0.25"/>
  <cols>
    <col min="1" max="1" width="14.85546875" bestFit="1" customWidth="1"/>
    <col min="2" max="2" width="19.5703125" bestFit="1" customWidth="1"/>
    <col min="3" max="3" width="18.5703125" bestFit="1" customWidth="1"/>
    <col min="4" max="4" width="36.7109375" bestFit="1" customWidth="1"/>
    <col min="5" max="5" width="19.85546875" bestFit="1" customWidth="1"/>
    <col min="6" max="6" width="18" bestFit="1" customWidth="1"/>
    <col min="7" max="7" width="32.5703125" customWidth="1"/>
    <col min="8" max="8" width="36.7109375" bestFit="1" customWidth="1"/>
  </cols>
  <sheetData>
    <row r="1" spans="1:8" ht="37.5" x14ac:dyDescent="0.3">
      <c r="A1" s="2" t="s">
        <v>47</v>
      </c>
      <c r="B1" s="2" t="s">
        <v>49</v>
      </c>
      <c r="C1" s="2" t="s">
        <v>46</v>
      </c>
      <c r="D1" s="2" t="s">
        <v>50</v>
      </c>
      <c r="E1" s="2" t="s">
        <v>44</v>
      </c>
      <c r="F1" s="2" t="s">
        <v>45</v>
      </c>
      <c r="G1" s="3" t="s">
        <v>28</v>
      </c>
      <c r="H1" s="2" t="s">
        <v>55</v>
      </c>
    </row>
    <row r="2" spans="1:8" x14ac:dyDescent="0.25">
      <c r="A2" t="s">
        <v>48</v>
      </c>
      <c r="B2" t="s">
        <v>51</v>
      </c>
      <c r="C2" t="s">
        <v>39</v>
      </c>
      <c r="D2" s="7">
        <v>58</v>
      </c>
      <c r="F2">
        <v>2</v>
      </c>
      <c r="G2" t="s">
        <v>52</v>
      </c>
      <c r="H2" s="7">
        <f>F2*23.6</f>
        <v>47.2</v>
      </c>
    </row>
    <row r="3" spans="1:8" x14ac:dyDescent="0.25">
      <c r="A3" t="s">
        <v>48</v>
      </c>
      <c r="B3" t="s">
        <v>51</v>
      </c>
      <c r="C3" t="s">
        <v>40</v>
      </c>
      <c r="D3" s="7"/>
      <c r="F3">
        <v>1</v>
      </c>
      <c r="H3" s="7">
        <f>47.2*F3</f>
        <v>47.2</v>
      </c>
    </row>
    <row r="5" spans="1:8" x14ac:dyDescent="0.25">
      <c r="A5" t="s">
        <v>56</v>
      </c>
      <c r="B5" t="s">
        <v>51</v>
      </c>
      <c r="C5" t="s">
        <v>34</v>
      </c>
      <c r="D5" s="7"/>
      <c r="F5">
        <v>3</v>
      </c>
      <c r="H5" s="7">
        <f>10*F5</f>
        <v>30</v>
      </c>
    </row>
    <row r="7" spans="1:8" x14ac:dyDescent="0.25">
      <c r="A7" t="s">
        <v>57</v>
      </c>
      <c r="B7" t="s">
        <v>51</v>
      </c>
      <c r="C7" t="s">
        <v>34</v>
      </c>
      <c r="D7" s="7"/>
      <c r="F7">
        <v>2</v>
      </c>
      <c r="H7" s="7">
        <f>23.6*F7</f>
        <v>47.2</v>
      </c>
    </row>
    <row r="8" spans="1:8" x14ac:dyDescent="0.25">
      <c r="A8" t="s">
        <v>57</v>
      </c>
      <c r="B8" t="s">
        <v>51</v>
      </c>
      <c r="C8" t="s">
        <v>58</v>
      </c>
      <c r="D8" s="7"/>
      <c r="F8">
        <v>2</v>
      </c>
      <c r="H8" s="7">
        <f>29.5*F8</f>
        <v>59</v>
      </c>
    </row>
    <row r="9" spans="1:8" x14ac:dyDescent="0.25">
      <c r="A9" t="s">
        <v>57</v>
      </c>
      <c r="B9" t="s">
        <v>51</v>
      </c>
      <c r="C9" t="s">
        <v>108</v>
      </c>
    </row>
  </sheetData>
  <dataValidations count="4">
    <dataValidation type="list" allowBlank="1" showInputMessage="1" showErrorMessage="1" sqref="A1:A1048576" xr:uid="{EFA05772-5A6E-45B2-AA46-57219E33A43F}">
      <formula1>"Cursor,Github Copilot, Claude, Chatgpt, Anthropic API, openAI api, Gemini, Windsurf, v0, grok, Deepseek"</formula1>
    </dataValidation>
    <dataValidation type="list" allowBlank="1" showInputMessage="1" showErrorMessage="1" sqref="C1:C1048576" xr:uid="{1A89D59D-FD28-4533-B7F8-292B65D2E166}">
      <formula1>"Free, Pro, Max10x, Max 20x, Team Standard, Team Premium, Enterprise, Free, Pro, Pro+, Business, Enterprise, Hobby,Individual Pro, Individual Pro+, Individual Ultra, Teams, Enterprise"</formula1>
    </dataValidation>
    <dataValidation type="list" allowBlank="1" showInputMessage="1" showErrorMessage="1" sqref="B1:B1048576" xr:uid="{3319743B-AF2C-4703-8954-59022A20D387}">
      <formula1>"yearly,monthly"</formula1>
    </dataValidation>
    <dataValidation type="list" allowBlank="1" showInputMessage="1" showErrorMessage="1" sqref="G1:G1048576" xr:uid="{14BF6572-A850-4627-AD85-FC0373BFA896}">
      <formula1>"coding,writing,data,research,mixed"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shobhit-verma</dc:creator>
  <cp:lastModifiedBy>find shobhit</cp:lastModifiedBy>
  <dcterms:created xsi:type="dcterms:W3CDTF">2015-06-05T18:17:20Z</dcterms:created>
  <dcterms:modified xsi:type="dcterms:W3CDTF">2026-05-23T15:32:50Z</dcterms:modified>
</cp:coreProperties>
</file>