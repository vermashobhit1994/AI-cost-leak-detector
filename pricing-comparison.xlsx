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J:\projects\leak-AI-cost-detector\"/>
    </mc:Choice>
  </mc:AlternateContent>
  <xr:revisionPtr revIDLastSave="0" documentId="13_ncr:1_{CE5E1B18-F3A6-44D0-AD76-444C0119DD5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" i="1" l="1"/>
  <c r="M6" i="1"/>
  <c r="G10" i="1"/>
  <c r="G11" i="1"/>
  <c r="G12" i="1"/>
  <c r="G9" i="1"/>
  <c r="G64" i="1"/>
  <c r="G63" i="1"/>
  <c r="H40" i="1"/>
  <c r="H38" i="1"/>
  <c r="G36" i="1"/>
  <c r="F51" i="1"/>
  <c r="G51" i="1" s="1"/>
  <c r="F52" i="1"/>
  <c r="F53" i="1"/>
  <c r="G53" i="1" s="1"/>
  <c r="F54" i="1"/>
  <c r="G54" i="1" s="1"/>
  <c r="G37" i="1"/>
  <c r="G52" i="1"/>
  <c r="G2" i="1"/>
  <c r="F21" i="1"/>
  <c r="G21" i="1" s="1"/>
  <c r="G39" i="1"/>
  <c r="G41" i="1"/>
  <c r="H31" i="1"/>
  <c r="G30" i="1"/>
  <c r="G28" i="1"/>
  <c r="G29" i="1"/>
  <c r="G27" i="1"/>
  <c r="F20" i="1"/>
  <c r="H20" i="1" s="1"/>
  <c r="F19" i="1"/>
  <c r="G19" i="1" s="1"/>
  <c r="F18" i="1"/>
  <c r="H18" i="1" s="1"/>
  <c r="G8" i="1"/>
  <c r="F17" i="1"/>
  <c r="G17" i="1" s="1"/>
  <c r="F16" i="1"/>
  <c r="G16" i="1" s="1"/>
  <c r="F15" i="1"/>
  <c r="H15" i="1" s="1"/>
  <c r="G4" i="1"/>
  <c r="G5" i="1"/>
  <c r="G6" i="1"/>
  <c r="G3" i="1"/>
  <c r="H2" i="1"/>
  <c r="H6" i="1"/>
  <c r="H4" i="1"/>
  <c r="H3" i="1"/>
  <c r="I3" i="1" s="1"/>
  <c r="H5" i="1"/>
  <c r="I6" i="1" l="1"/>
  <c r="I4" i="1"/>
  <c r="I5" i="1"/>
</calcChain>
</file>

<file path=xl/sharedStrings.xml><?xml version="1.0" encoding="utf-8"?>
<sst xmlns="http://schemas.openxmlformats.org/spreadsheetml/2006/main" count="75" uniqueCount="56">
  <si>
    <t>cursor</t>
  </si>
  <si>
    <t>monthly charges</t>
  </si>
  <si>
    <t>$20</t>
  </si>
  <si>
    <t>$60</t>
  </si>
  <si>
    <t>$200</t>
  </si>
  <si>
    <t>$0</t>
  </si>
  <si>
    <t>$40</t>
  </si>
  <si>
    <t>$16</t>
  </si>
  <si>
    <t>$48</t>
  </si>
  <si>
    <t>$160</t>
  </si>
  <si>
    <t>github copilot</t>
  </si>
  <si>
    <t>claude code</t>
  </si>
  <si>
    <t>$17</t>
  </si>
  <si>
    <t>$20 / user + API token cost</t>
  </si>
  <si>
    <t>$4.14</t>
  </si>
  <si>
    <t>chatgpt</t>
  </si>
  <si>
    <t>$20.73</t>
  </si>
  <si>
    <t>$110.97</t>
  </si>
  <si>
    <t>$46.68</t>
  </si>
  <si>
    <t>number of users</t>
  </si>
  <si>
    <t>$32</t>
  </si>
  <si>
    <t>Google gemini</t>
  </si>
  <si>
    <t>$20.24</t>
  </si>
  <si>
    <t>$67.46</t>
  </si>
  <si>
    <t>windsurf</t>
  </si>
  <si>
    <t>tool company</t>
  </si>
  <si>
    <t>grok</t>
  </si>
  <si>
    <t>$7.26</t>
  </si>
  <si>
    <t>$30</t>
  </si>
  <si>
    <t>v0</t>
  </si>
  <si>
    <t>$100</t>
  </si>
  <si>
    <t>yearly charges($)</t>
  </si>
  <si>
    <t>yearly charges($) / month</t>
  </si>
  <si>
    <t>Total yearly amount($)
(paid yearly)</t>
  </si>
  <si>
    <t>Total yearly amount($)
(paid monthly)</t>
  </si>
  <si>
    <t>loss in payment when payed monthly</t>
  </si>
  <si>
    <t>$10</t>
  </si>
  <si>
    <t>$39</t>
  </si>
  <si>
    <t>$19</t>
  </si>
  <si>
    <t>tax</t>
  </si>
  <si>
    <t>$25</t>
  </si>
  <si>
    <t>$125</t>
  </si>
  <si>
    <t>$18.69</t>
  </si>
  <si>
    <t>$41.53</t>
  </si>
  <si>
    <t>$202.46</t>
  </si>
  <si>
    <t>$300</t>
  </si>
  <si>
    <t>$3000</t>
  </si>
  <si>
    <t>number of seats</t>
  </si>
  <si>
    <t>openai API</t>
  </si>
  <si>
    <t>anthropic API</t>
  </si>
  <si>
    <t>deepseek API</t>
  </si>
  <si>
    <t>google API</t>
  </si>
  <si>
    <t>gemini3.1 pro</t>
  </si>
  <si>
    <t>Team size</t>
  </si>
  <si>
    <t>user paid amount</t>
  </si>
  <si>
    <t>purpose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</si>
</sst>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6"/>
  <sheetViews>
    <sheetView tabSelected="1" topLeftCell="F1" workbookViewId="0">
      <selection activeCell="K16" sqref="K16"/>
    </sheetView>
  </sheetViews>
  <sheetFormatPr defaultRowHeight="15" x14ac:dyDescent="0.25"/>
  <cols>
    <col min="1" max="2" width="20.7109375" customWidth="1"/>
    <col min="3" max="3" width="27.42578125" customWidth="1"/>
    <col min="4" max="4" width="31.140625" bestFit="1" customWidth="1"/>
    <col min="5" max="5" width="31.140625" customWidth="1"/>
    <col min="6" max="6" width="11.85546875" customWidth="1"/>
    <col min="7" max="7" width="21.42578125" customWidth="1"/>
    <col min="8" max="8" width="15.5703125" bestFit="1" customWidth="1"/>
    <col min="9" max="9" width="19.28515625" bestFit="1" customWidth="1"/>
    <col min="10" max="11" width="24" style="1" customWidth="1"/>
    <col min="12" max="12" width="28.7109375" customWidth="1"/>
    <col min="13" max="13" width="19.28515625" customWidth="1"/>
    <col min="14" max="14" width="19.42578125" customWidth="1"/>
  </cols>
  <sheetData>
    <row r="1" spans="1:14" s="2" customFormat="1" ht="56.25" x14ac:dyDescent="0.3">
      <c r="A1" s="2" t="s">
        <v>25</v>
      </c>
      <c r="C1" s="2" t="s">
        <v>1</v>
      </c>
      <c r="D1" s="2" t="s">
        <v>32</v>
      </c>
      <c r="E1" s="2" t="s">
        <v>31</v>
      </c>
      <c r="F1" s="2" t="s">
        <v>39</v>
      </c>
      <c r="G1" s="3" t="s">
        <v>34</v>
      </c>
      <c r="H1" s="3" t="s">
        <v>33</v>
      </c>
      <c r="I1" s="3" t="s">
        <v>35</v>
      </c>
      <c r="J1" s="4" t="s">
        <v>19</v>
      </c>
      <c r="K1" s="4" t="s">
        <v>47</v>
      </c>
      <c r="L1" s="2" t="s">
        <v>53</v>
      </c>
      <c r="M1" s="3" t="s">
        <v>54</v>
      </c>
      <c r="N1" s="2" t="s">
        <v>55</v>
      </c>
    </row>
    <row r="2" spans="1:14" x14ac:dyDescent="0.25">
      <c r="A2" t="s">
        <v>0</v>
      </c>
      <c r="C2" t="s">
        <v>5</v>
      </c>
      <c r="D2" t="s">
        <v>5</v>
      </c>
      <c r="G2">
        <f t="shared" ref="G2:H6" si="0">PRODUCT(VALUE(RIGHT(C2,LEN(C2)-1)),12)</f>
        <v>0</v>
      </c>
      <c r="H2">
        <f t="shared" si="0"/>
        <v>0</v>
      </c>
    </row>
    <row r="3" spans="1:14" x14ac:dyDescent="0.25">
      <c r="C3" t="s">
        <v>2</v>
      </c>
      <c r="D3" t="s">
        <v>7</v>
      </c>
      <c r="G3">
        <f t="shared" si="0"/>
        <v>240</v>
      </c>
      <c r="H3">
        <f t="shared" si="0"/>
        <v>192</v>
      </c>
      <c r="I3">
        <f>G3-H3</f>
        <v>48</v>
      </c>
    </row>
    <row r="4" spans="1:14" x14ac:dyDescent="0.25">
      <c r="C4" t="s">
        <v>3</v>
      </c>
      <c r="D4" t="s">
        <v>8</v>
      </c>
      <c r="G4">
        <f t="shared" si="0"/>
        <v>720</v>
      </c>
      <c r="H4">
        <f t="shared" si="0"/>
        <v>576</v>
      </c>
      <c r="I4">
        <f>G4-H4</f>
        <v>144</v>
      </c>
    </row>
    <row r="5" spans="1:14" x14ac:dyDescent="0.25">
      <c r="C5" t="s">
        <v>4</v>
      </c>
      <c r="D5" t="s">
        <v>9</v>
      </c>
      <c r="G5">
        <f t="shared" si="0"/>
        <v>2400</v>
      </c>
      <c r="H5">
        <f t="shared" si="0"/>
        <v>1920</v>
      </c>
      <c r="I5">
        <f>G5-H5</f>
        <v>480</v>
      </c>
      <c r="L5">
        <v>1</v>
      </c>
      <c r="M5">
        <f>PRODUCT(VALUE(RIGHT(C5,LEN(C5)-1)),L5)</f>
        <v>200</v>
      </c>
    </row>
    <row r="6" spans="1:14" x14ac:dyDescent="0.25">
      <c r="C6" t="s">
        <v>6</v>
      </c>
      <c r="D6" t="s">
        <v>20</v>
      </c>
      <c r="G6">
        <f t="shared" si="0"/>
        <v>480</v>
      </c>
      <c r="H6">
        <f t="shared" si="0"/>
        <v>384</v>
      </c>
      <c r="I6">
        <f>G6-H6</f>
        <v>96</v>
      </c>
      <c r="J6" s="1">
        <v>1</v>
      </c>
      <c r="L6">
        <v>3</v>
      </c>
      <c r="M6">
        <f>PRODUCT(VALUE(RIGHT(C6,LEN(C6)-1)),L6)</f>
        <v>120</v>
      </c>
    </row>
    <row r="8" spans="1:14" x14ac:dyDescent="0.25">
      <c r="A8" t="s">
        <v>10</v>
      </c>
      <c r="C8" t="s">
        <v>5</v>
      </c>
      <c r="G8">
        <f>PRODUCT(VALUE(RIGHT(C8,LEN(C8)-1)),12)</f>
        <v>0</v>
      </c>
    </row>
    <row r="9" spans="1:14" x14ac:dyDescent="0.25">
      <c r="C9" t="s">
        <v>36</v>
      </c>
      <c r="G9">
        <f>PRODUCT(VALUE(RIGHT(C9,LEN(C9)-1)),12)</f>
        <v>120</v>
      </c>
      <c r="J9" s="1">
        <v>1</v>
      </c>
    </row>
    <row r="10" spans="1:14" x14ac:dyDescent="0.25">
      <c r="C10" t="s">
        <v>37</v>
      </c>
      <c r="G10">
        <f t="shared" ref="G10:G12" si="1">PRODUCT(VALUE(RIGHT(C10,LEN(C10)-1)),12)</f>
        <v>468</v>
      </c>
      <c r="J10" s="1">
        <v>1</v>
      </c>
    </row>
    <row r="11" spans="1:14" x14ac:dyDescent="0.25">
      <c r="C11" t="s">
        <v>38</v>
      </c>
      <c r="G11">
        <f t="shared" si="1"/>
        <v>228</v>
      </c>
      <c r="J11" s="1">
        <v>1</v>
      </c>
    </row>
    <row r="12" spans="1:14" x14ac:dyDescent="0.25">
      <c r="C12" t="s">
        <v>37</v>
      </c>
      <c r="G12">
        <f t="shared" si="1"/>
        <v>468</v>
      </c>
      <c r="J12" s="1">
        <v>1</v>
      </c>
    </row>
    <row r="14" spans="1:14" x14ac:dyDescent="0.25">
      <c r="A14" t="s">
        <v>11</v>
      </c>
      <c r="C14" t="s">
        <v>5</v>
      </c>
    </row>
    <row r="15" spans="1:14" x14ac:dyDescent="0.25">
      <c r="D15" t="s">
        <v>12</v>
      </c>
      <c r="E15" t="s">
        <v>4</v>
      </c>
      <c r="F15">
        <f>PRODUCT(VALUE(RIGHT(E15,LEN(E15)-1)))*0.18</f>
        <v>36</v>
      </c>
      <c r="H15">
        <f>PRODUCT(VALUE(RIGHT(E15,LEN(E15)-1)))+F15</f>
        <v>236</v>
      </c>
    </row>
    <row r="16" spans="1:14" x14ac:dyDescent="0.25">
      <c r="C16" t="s">
        <v>2</v>
      </c>
      <c r="F16">
        <f>PRODUCT(VALUE(RIGHT(C16,LEN(C16)-1)))*0.18</f>
        <v>3.5999999999999996</v>
      </c>
      <c r="G16">
        <f>PRODUCT(VALUE(RIGHT(C16,LEN(C16)-1)),12)+F16</f>
        <v>243.6</v>
      </c>
    </row>
    <row r="17" spans="1:11" x14ac:dyDescent="0.25">
      <c r="C17" t="s">
        <v>30</v>
      </c>
      <c r="F17">
        <f>PRODUCT(VALUE(RIGHT(C17,LEN(C17)-1)))*0.18</f>
        <v>18</v>
      </c>
      <c r="G17">
        <f>PRODUCT(VALUE(RIGHT(C17,LEN(C17)-1)),12)+F17</f>
        <v>1218</v>
      </c>
    </row>
    <row r="18" spans="1:11" x14ac:dyDescent="0.25">
      <c r="D18" t="s">
        <v>2</v>
      </c>
      <c r="F18">
        <f>PRODUCT(VALUE(RIGHT(D18,LEN(D18)-1)))*0.18</f>
        <v>3.5999999999999996</v>
      </c>
      <c r="H18">
        <f>PRODUCT(VALUE(RIGHT(D18,LEN(D18)-1)),12)+F18</f>
        <v>243.6</v>
      </c>
      <c r="J18" s="1">
        <v>1</v>
      </c>
      <c r="K18" s="1">
        <v>1</v>
      </c>
    </row>
    <row r="19" spans="1:11" x14ac:dyDescent="0.25">
      <c r="C19" t="s">
        <v>40</v>
      </c>
      <c r="F19">
        <f>PRODUCT(VALUE(RIGHT(C19,LEN(C19)-1)))*0.18</f>
        <v>4.5</v>
      </c>
      <c r="G19">
        <f>PRODUCT(VALUE(RIGHT(C19,LEN(C19)-1)),12)+F19</f>
        <v>304.5</v>
      </c>
      <c r="J19" s="1">
        <v>1</v>
      </c>
      <c r="K19" s="1">
        <v>1</v>
      </c>
    </row>
    <row r="20" spans="1:11" x14ac:dyDescent="0.25">
      <c r="D20" t="s">
        <v>30</v>
      </c>
      <c r="F20">
        <f>PRODUCT(VALUE(RIGHT(D20,LEN(D20)-1)))*0.18</f>
        <v>18</v>
      </c>
      <c r="H20">
        <f>PRODUCT(VALUE(RIGHT(D20,LEN(D20)-1)),12)+F20</f>
        <v>1218</v>
      </c>
      <c r="J20" s="1">
        <v>1</v>
      </c>
      <c r="K20" s="1">
        <v>1</v>
      </c>
    </row>
    <row r="21" spans="1:11" x14ac:dyDescent="0.25">
      <c r="C21" t="s">
        <v>41</v>
      </c>
      <c r="F21">
        <f>PRODUCT(VALUE(RIGHT(C21,LEN(C21)-1)))*0.18</f>
        <v>22.5</v>
      </c>
      <c r="G21">
        <f>PRODUCT(VALUE(RIGHT(C21,LEN(C21)-1)),12)+F21</f>
        <v>1522.5</v>
      </c>
      <c r="J21" s="1">
        <v>1</v>
      </c>
      <c r="K21" s="1">
        <v>1</v>
      </c>
    </row>
    <row r="23" spans="1:11" x14ac:dyDescent="0.25">
      <c r="A23" t="s">
        <v>49</v>
      </c>
      <c r="C23" t="s">
        <v>13</v>
      </c>
    </row>
    <row r="26" spans="1:11" x14ac:dyDescent="0.25">
      <c r="A26" t="s">
        <v>15</v>
      </c>
      <c r="C26" t="s">
        <v>5</v>
      </c>
    </row>
    <row r="27" spans="1:11" x14ac:dyDescent="0.25">
      <c r="C27" t="s">
        <v>14</v>
      </c>
      <c r="F27">
        <v>0</v>
      </c>
      <c r="G27">
        <f>PRODUCT(VALUE(RIGHT(C27,LEN(C27)-1)),12)+F27</f>
        <v>49.679999999999993</v>
      </c>
    </row>
    <row r="28" spans="1:11" x14ac:dyDescent="0.25">
      <c r="C28" t="s">
        <v>16</v>
      </c>
      <c r="F28">
        <v>0</v>
      </c>
      <c r="G28">
        <f>PRODUCT(VALUE(RIGHT(C28,LEN(C28)-1)),12)+F28</f>
        <v>248.76</v>
      </c>
    </row>
    <row r="29" spans="1:11" x14ac:dyDescent="0.25">
      <c r="C29" t="s">
        <v>17</v>
      </c>
      <c r="F29">
        <v>0</v>
      </c>
      <c r="G29">
        <f>PRODUCT(VALUE(RIGHT(C29,LEN(C29)-1)),12)+F29</f>
        <v>1331.6399999999999</v>
      </c>
    </row>
    <row r="30" spans="1:11" x14ac:dyDescent="0.25">
      <c r="C30" t="s">
        <v>18</v>
      </c>
      <c r="F30">
        <v>0</v>
      </c>
      <c r="G30">
        <f>PRODUCT(VALUE(RIGHT(C30,LEN(C30)-1)),12)+F30</f>
        <v>560.16</v>
      </c>
      <c r="J30" s="1">
        <v>2</v>
      </c>
      <c r="K30" s="1">
        <v>1</v>
      </c>
    </row>
    <row r="31" spans="1:11" x14ac:dyDescent="0.25">
      <c r="D31" t="s">
        <v>42</v>
      </c>
      <c r="F31">
        <v>0</v>
      </c>
      <c r="H31">
        <f>PRODUCT(VALUE(RIGHT(D31,LEN(D31)-1)),12)+F31</f>
        <v>224.28000000000003</v>
      </c>
      <c r="J31" s="1">
        <v>2</v>
      </c>
      <c r="K31" s="1">
        <v>1</v>
      </c>
    </row>
    <row r="33" spans="1:8" x14ac:dyDescent="0.25">
      <c r="A33" t="s">
        <v>48</v>
      </c>
    </row>
    <row r="36" spans="1:8" x14ac:dyDescent="0.25">
      <c r="A36" t="s">
        <v>21</v>
      </c>
      <c r="C36" t="s">
        <v>5</v>
      </c>
      <c r="F36">
        <v>0</v>
      </c>
      <c r="G36">
        <f>PRODUCT(VALUE(RIGHT(C36,LEN(C36)-1)),12)+F36</f>
        <v>0</v>
      </c>
    </row>
    <row r="37" spans="1:8" x14ac:dyDescent="0.25">
      <c r="C37" t="s">
        <v>14</v>
      </c>
      <c r="F37">
        <v>0</v>
      </c>
      <c r="G37">
        <f>PRODUCT(VALUE(RIGHT(C37,LEN(C37)-1)),12)+F37</f>
        <v>49.679999999999993</v>
      </c>
    </row>
    <row r="38" spans="1:8" x14ac:dyDescent="0.25">
      <c r="D38" t="s">
        <v>43</v>
      </c>
      <c r="F38">
        <v>0</v>
      </c>
      <c r="H38">
        <f>PRODUCT(VALUE(RIGHT(D38,LEN(D38)-1)),12)+F38</f>
        <v>498.36</v>
      </c>
    </row>
    <row r="39" spans="1:8" x14ac:dyDescent="0.25">
      <c r="C39" t="s">
        <v>22</v>
      </c>
      <c r="F39">
        <v>0</v>
      </c>
      <c r="G39">
        <f t="shared" ref="G39:G54" si="2">PRODUCT(VALUE(RIGHT(C39,LEN(C39)-1)),12)+F39</f>
        <v>242.88</v>
      </c>
    </row>
    <row r="40" spans="1:8" x14ac:dyDescent="0.25">
      <c r="D40" t="s">
        <v>44</v>
      </c>
      <c r="F40">
        <v>0</v>
      </c>
      <c r="H40">
        <f>PRODUCT(VALUE(RIGHT(D40,LEN(D40)-1)),12)+F40</f>
        <v>2429.52</v>
      </c>
    </row>
    <row r="41" spans="1:8" x14ac:dyDescent="0.25">
      <c r="C41" t="s">
        <v>23</v>
      </c>
      <c r="F41">
        <v>0</v>
      </c>
      <c r="G41">
        <f t="shared" si="2"/>
        <v>809.52</v>
      </c>
    </row>
    <row r="43" spans="1:8" x14ac:dyDescent="0.25">
      <c r="A43" t="s">
        <v>51</v>
      </c>
      <c r="B43" t="s">
        <v>52</v>
      </c>
    </row>
    <row r="51" spans="1:10" x14ac:dyDescent="0.25">
      <c r="A51" t="s">
        <v>24</v>
      </c>
      <c r="C51" t="s">
        <v>5</v>
      </c>
      <c r="F51">
        <f t="shared" ref="F51:F54" si="3">PRODUCT(VALUE(RIGHT(C51,LEN(C51)-1)))*0.18</f>
        <v>0</v>
      </c>
      <c r="G51">
        <f t="shared" si="2"/>
        <v>0</v>
      </c>
    </row>
    <row r="52" spans="1:10" x14ac:dyDescent="0.25">
      <c r="C52" t="s">
        <v>2</v>
      </c>
      <c r="F52">
        <f t="shared" si="3"/>
        <v>3.5999999999999996</v>
      </c>
      <c r="G52">
        <f t="shared" si="2"/>
        <v>243.6</v>
      </c>
    </row>
    <row r="53" spans="1:10" x14ac:dyDescent="0.25">
      <c r="C53" t="s">
        <v>4</v>
      </c>
      <c r="F53">
        <f t="shared" si="3"/>
        <v>36</v>
      </c>
      <c r="G53">
        <f t="shared" si="2"/>
        <v>2436</v>
      </c>
    </row>
    <row r="54" spans="1:10" x14ac:dyDescent="0.25">
      <c r="C54" t="s">
        <v>6</v>
      </c>
      <c r="F54">
        <f t="shared" si="3"/>
        <v>7.1999999999999993</v>
      </c>
      <c r="G54">
        <f t="shared" si="2"/>
        <v>487.2</v>
      </c>
      <c r="J54" s="1">
        <v>1</v>
      </c>
    </row>
    <row r="56" spans="1:10" x14ac:dyDescent="0.25">
      <c r="A56" t="s">
        <v>26</v>
      </c>
      <c r="C56" t="s">
        <v>27</v>
      </c>
    </row>
    <row r="57" spans="1:10" x14ac:dyDescent="0.25">
      <c r="C57" t="s">
        <v>28</v>
      </c>
    </row>
    <row r="58" spans="1:10" x14ac:dyDescent="0.25">
      <c r="C58" t="s">
        <v>45</v>
      </c>
    </row>
    <row r="59" spans="1:10" x14ac:dyDescent="0.25">
      <c r="D59" t="s">
        <v>45</v>
      </c>
    </row>
    <row r="60" spans="1:10" x14ac:dyDescent="0.25">
      <c r="D60" t="s">
        <v>46</v>
      </c>
    </row>
    <row r="62" spans="1:10" x14ac:dyDescent="0.25">
      <c r="A62" t="s">
        <v>29</v>
      </c>
      <c r="C62" t="s">
        <v>5</v>
      </c>
    </row>
    <row r="63" spans="1:10" x14ac:dyDescent="0.25">
      <c r="C63" t="s">
        <v>28</v>
      </c>
      <c r="G63">
        <f t="shared" ref="G63:G64" si="4">PRODUCT(VALUE(RIGHT(C63,LEN(C63)-1)),12)+F63</f>
        <v>360</v>
      </c>
      <c r="J63" s="1">
        <v>1</v>
      </c>
    </row>
    <row r="64" spans="1:10" x14ac:dyDescent="0.25">
      <c r="C64" t="s">
        <v>30</v>
      </c>
      <c r="G64">
        <f t="shared" si="4"/>
        <v>1200</v>
      </c>
      <c r="J64" s="1">
        <v>1</v>
      </c>
    </row>
    <row r="66" spans="1:1" x14ac:dyDescent="0.25">
      <c r="A66" t="s">
        <v>50</v>
      </c>
    </row>
  </sheetData>
  <dataValidations count="1">
    <dataValidation type="list" allowBlank="1" showInputMessage="1" showErrorMessage="1" sqref="N2:N185" xr:uid="{FBFC31D5-409A-45C6-A0E6-2D0757A61327}">
      <formula1>"coding,writing,data,research,mixed"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shobhit-verma</dc:creator>
  <cp:lastModifiedBy>find shobhit</cp:lastModifiedBy>
  <dcterms:created xsi:type="dcterms:W3CDTF">2015-06-05T18:17:20Z</dcterms:created>
  <dcterms:modified xsi:type="dcterms:W3CDTF">2026-05-21T14:55:28Z</dcterms:modified>
</cp:coreProperties>
</file>